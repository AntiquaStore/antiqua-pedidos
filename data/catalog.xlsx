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bfc6751fa011ec6/2. ANTIQUA/1.Contabilidad/"/>
    </mc:Choice>
  </mc:AlternateContent>
  <xr:revisionPtr revIDLastSave="240" documentId="8_{6379019E-6D0B-488E-A91A-3FC545B76C92}" xr6:coauthVersionLast="47" xr6:coauthVersionMax="47" xr10:uidLastSave="{A7F99331-5402-48D4-ACA2-0A3C568CD859}"/>
  <bookViews>
    <workbookView xWindow="-108" yWindow="-108" windowWidth="23256" windowHeight="12456" xr2:uid="{E7F687BC-5AFA-428B-B10E-61137C7567B9}"/>
  </bookViews>
  <sheets>
    <sheet name="Joyas" sheetId="3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59" i="38" l="1"/>
  <c r="AH4" i="38"/>
  <c r="AH5" i="38"/>
  <c r="AH6" i="38"/>
  <c r="AH7" i="38"/>
  <c r="AH8" i="38"/>
  <c r="AH9" i="38"/>
  <c r="AH10" i="38"/>
  <c r="AH11" i="38"/>
  <c r="AH12" i="38"/>
  <c r="AH13" i="38"/>
  <c r="AH14" i="38"/>
  <c r="AH15" i="38"/>
  <c r="AH16" i="38"/>
  <c r="AH17" i="38"/>
  <c r="AH18" i="38"/>
  <c r="AH19" i="38"/>
  <c r="AH21" i="38"/>
  <c r="AH22" i="38"/>
  <c r="AH23" i="38"/>
  <c r="AH24" i="38"/>
  <c r="AH25" i="38"/>
  <c r="AH27" i="38"/>
  <c r="AH29" i="38"/>
  <c r="AH30" i="38"/>
  <c r="AH31" i="38"/>
  <c r="AH32" i="38"/>
  <c r="AH34" i="38"/>
  <c r="AH35" i="38"/>
  <c r="AH36" i="38"/>
  <c r="AH37" i="38"/>
  <c r="AH38" i="38"/>
  <c r="AH39" i="38"/>
  <c r="AH41" i="38"/>
  <c r="AH42" i="38"/>
  <c r="AH44" i="38"/>
  <c r="AH45" i="38"/>
  <c r="AH46" i="38"/>
  <c r="AH47" i="38"/>
  <c r="AH48" i="38"/>
  <c r="AH49" i="38"/>
  <c r="AH52" i="38"/>
  <c r="AH54" i="38"/>
  <c r="AH3" i="38"/>
  <c r="AN3" i="38"/>
  <c r="AA54" i="38"/>
  <c r="AA52" i="38"/>
  <c r="AA49" i="38"/>
  <c r="AA48" i="38"/>
  <c r="AA47" i="38"/>
  <c r="AA46" i="38"/>
  <c r="AA45" i="38"/>
  <c r="AA44" i="38"/>
  <c r="AA42" i="38"/>
  <c r="AA41" i="38"/>
  <c r="AA39" i="38"/>
  <c r="AA38" i="38"/>
  <c r="AA37" i="38"/>
  <c r="AA36" i="38"/>
  <c r="AA35" i="38"/>
  <c r="AA34" i="38"/>
  <c r="AA32" i="38"/>
  <c r="AA31" i="38"/>
  <c r="AA30" i="38"/>
  <c r="AA29" i="38"/>
  <c r="AA27" i="38"/>
  <c r="AA25" i="38"/>
  <c r="AA24" i="38"/>
  <c r="AA22" i="38"/>
  <c r="AA23" i="38"/>
  <c r="AA21" i="38"/>
  <c r="AA19" i="38"/>
  <c r="AA17" i="38"/>
  <c r="AA18" i="38"/>
  <c r="AA16" i="38"/>
  <c r="AA15" i="38"/>
  <c r="AA14" i="38"/>
  <c r="AA3" i="38"/>
  <c r="AA4" i="38"/>
  <c r="AA5" i="38"/>
  <c r="AA6" i="38"/>
  <c r="AA7" i="38"/>
  <c r="AA8" i="38"/>
  <c r="AA9" i="38"/>
  <c r="AA10" i="38"/>
  <c r="AA11" i="38"/>
  <c r="AA12" i="38"/>
  <c r="AA13" i="38"/>
  <c r="S3" i="38" l="1"/>
  <c r="AC13" i="38" l="1"/>
  <c r="AD13" i="38" s="1"/>
  <c r="V13" i="38"/>
  <c r="W13" i="38" s="1"/>
  <c r="AM13" i="38" s="1"/>
  <c r="AL13" i="38" s="1"/>
  <c r="S13" i="38"/>
  <c r="AC7" i="38"/>
  <c r="AD7" i="38" s="1"/>
  <c r="V7" i="38"/>
  <c r="L7" i="38"/>
  <c r="AC14" i="38"/>
  <c r="AD14" i="38" s="1"/>
  <c r="V14" i="38"/>
  <c r="W14" i="38" s="1"/>
  <c r="AM14" i="38" s="1"/>
  <c r="AL14" i="38" s="1"/>
  <c r="S14" i="38"/>
  <c r="AC12" i="38"/>
  <c r="AD12" i="38" s="1"/>
  <c r="V12" i="38"/>
  <c r="W12" i="38" s="1"/>
  <c r="AM12" i="38" s="1"/>
  <c r="AL12" i="38" s="1"/>
  <c r="S12" i="38"/>
  <c r="AC11" i="38"/>
  <c r="AD11" i="38" s="1"/>
  <c r="V11" i="38"/>
  <c r="W11" i="38" s="1"/>
  <c r="AM11" i="38" s="1"/>
  <c r="AL11" i="38" s="1"/>
  <c r="S11" i="38"/>
  <c r="AC10" i="38"/>
  <c r="AD10" i="38" s="1"/>
  <c r="V10" i="38"/>
  <c r="W10" i="38" s="1"/>
  <c r="AM10" i="38" s="1"/>
  <c r="AL10" i="38" s="1"/>
  <c r="S10" i="38"/>
  <c r="AC9" i="38"/>
  <c r="AD9" i="38" s="1"/>
  <c r="W9" i="38"/>
  <c r="AM9" i="38" s="1"/>
  <c r="AL9" i="38" s="1"/>
  <c r="S9" i="38"/>
  <c r="AC8" i="38"/>
  <c r="AD8" i="38" s="1"/>
  <c r="W8" i="38"/>
  <c r="AM8" i="38" s="1"/>
  <c r="AL8" i="38" s="1"/>
  <c r="S8" i="38"/>
  <c r="N24" i="38"/>
  <c r="AC24" i="38"/>
  <c r="AD24" i="38" s="1"/>
  <c r="V24" i="38"/>
  <c r="W24" i="38" s="1"/>
  <c r="AM24" i="38" s="1"/>
  <c r="AL24" i="38" s="1"/>
  <c r="S24" i="38"/>
  <c r="AC23" i="38"/>
  <c r="AD23" i="38" s="1"/>
  <c r="V23" i="38"/>
  <c r="W23" i="38" s="1"/>
  <c r="AM23" i="38" s="1"/>
  <c r="AL23" i="38" s="1"/>
  <c r="S23" i="38"/>
  <c r="N23" i="38"/>
  <c r="AC22" i="38"/>
  <c r="AD22" i="38" s="1"/>
  <c r="V22" i="38"/>
  <c r="W22" i="38" s="1"/>
  <c r="AM22" i="38" s="1"/>
  <c r="AL22" i="38" s="1"/>
  <c r="S22" i="38"/>
  <c r="N22" i="38"/>
  <c r="AJ10" i="38" l="1"/>
  <c r="AK10" i="38" s="1"/>
  <c r="AO10" i="38"/>
  <c r="AN10" i="38"/>
  <c r="AJ23" i="38"/>
  <c r="AK23" i="38" s="1"/>
  <c r="AN23" i="38"/>
  <c r="AO23" i="38"/>
  <c r="AJ11" i="38"/>
  <c r="AK11" i="38" s="1"/>
  <c r="AN11" i="38"/>
  <c r="AO11" i="38"/>
  <c r="AN24" i="38"/>
  <c r="AO24" i="38"/>
  <c r="AJ24" i="38"/>
  <c r="AK24" i="38" s="1"/>
  <c r="AN12" i="38"/>
  <c r="AO12" i="38"/>
  <c r="AJ12" i="38"/>
  <c r="AK12" i="38" s="1"/>
  <c r="AJ14" i="38"/>
  <c r="AK14" i="38" s="1"/>
  <c r="AN14" i="38"/>
  <c r="AO14" i="38"/>
  <c r="AJ8" i="38"/>
  <c r="AK8" i="38" s="1"/>
  <c r="AO8" i="38"/>
  <c r="AN8" i="38"/>
  <c r="AN9" i="38"/>
  <c r="AJ9" i="38"/>
  <c r="AK9" i="38" s="1"/>
  <c r="AO9" i="38"/>
  <c r="AJ22" i="38"/>
  <c r="AK22" i="38" s="1"/>
  <c r="AO22" i="38"/>
  <c r="AN22" i="38"/>
  <c r="AJ13" i="38"/>
  <c r="AK13" i="38" s="1"/>
  <c r="AN13" i="38"/>
  <c r="AO13" i="38"/>
  <c r="AE13" i="38"/>
  <c r="AF13" i="38" s="1"/>
  <c r="W7" i="38"/>
  <c r="AM7" i="38" s="1"/>
  <c r="AL7" i="38" s="1"/>
  <c r="S7" i="38"/>
  <c r="AE10" i="38"/>
  <c r="AF10" i="38" s="1"/>
  <c r="AE11" i="38"/>
  <c r="AF11" i="38" s="1"/>
  <c r="AE12" i="38"/>
  <c r="AF12" i="38" s="1"/>
  <c r="AE9" i="38"/>
  <c r="AF9" i="38" s="1"/>
  <c r="AE14" i="38"/>
  <c r="AF14" i="38" s="1"/>
  <c r="AE8" i="38"/>
  <c r="AF8" i="38" s="1"/>
  <c r="AE23" i="38"/>
  <c r="AF23" i="38" s="1"/>
  <c r="AE24" i="38"/>
  <c r="AF24" i="38" s="1"/>
  <c r="AE22" i="38"/>
  <c r="AF22" i="38" s="1"/>
  <c r="AE7" i="38" l="1"/>
  <c r="AF7" i="38" s="1"/>
  <c r="AJ7" i="38"/>
  <c r="AK7" i="38" s="1"/>
  <c r="AO7" i="38"/>
  <c r="AN7" i="38"/>
  <c r="V54" i="38"/>
  <c r="W54" i="38" s="1"/>
  <c r="AM54" i="38" s="1"/>
  <c r="AL54" i="38" s="1"/>
  <c r="S54" i="38"/>
  <c r="AC54" i="38"/>
  <c r="AD54" i="38" s="1"/>
  <c r="AC52" i="38"/>
  <c r="AD52" i="38" s="1"/>
  <c r="AN54" i="38" l="1"/>
  <c r="AO54" i="38"/>
  <c r="AJ54" i="38"/>
  <c r="AK54" i="38" s="1"/>
  <c r="AE54" i="38"/>
  <c r="AF54" i="38" s="1"/>
  <c r="V52" i="38"/>
  <c r="W52" i="38" s="1"/>
  <c r="AM52" i="38" s="1"/>
  <c r="AL52" i="38" s="1"/>
  <c r="S52" i="38"/>
  <c r="AC49" i="38"/>
  <c r="AD49" i="38" s="1"/>
  <c r="V49" i="38"/>
  <c r="W49" i="38" s="1"/>
  <c r="AM49" i="38" s="1"/>
  <c r="AL49" i="38" s="1"/>
  <c r="S49" i="38"/>
  <c r="AC48" i="38"/>
  <c r="AD48" i="38" s="1"/>
  <c r="V48" i="38"/>
  <c r="W48" i="38" s="1"/>
  <c r="AM48" i="38" s="1"/>
  <c r="AL48" i="38" s="1"/>
  <c r="S48" i="38"/>
  <c r="AC47" i="38"/>
  <c r="AD47" i="38" s="1"/>
  <c r="V47" i="38"/>
  <c r="W47" i="38" s="1"/>
  <c r="AM47" i="38" s="1"/>
  <c r="AL47" i="38" s="1"/>
  <c r="S47" i="38"/>
  <c r="AC46" i="38"/>
  <c r="AD46" i="38" s="1"/>
  <c r="V46" i="38"/>
  <c r="W46" i="38" s="1"/>
  <c r="AM46" i="38" s="1"/>
  <c r="AL46" i="38" s="1"/>
  <c r="S46" i="38"/>
  <c r="AJ47" i="38" l="1"/>
  <c r="AK47" i="38" s="1"/>
  <c r="AN47" i="38"/>
  <c r="AO47" i="38"/>
  <c r="AJ48" i="38"/>
  <c r="AK48" i="38" s="1"/>
  <c r="AN48" i="38"/>
  <c r="AO48" i="38"/>
  <c r="AO49" i="38"/>
  <c r="AN49" i="38"/>
  <c r="AJ49" i="38"/>
  <c r="AK49" i="38" s="1"/>
  <c r="AO52" i="38"/>
  <c r="AJ52" i="38"/>
  <c r="AK52" i="38" s="1"/>
  <c r="AN52" i="38"/>
  <c r="AJ46" i="38"/>
  <c r="AK46" i="38" s="1"/>
  <c r="AN46" i="38"/>
  <c r="AO46" i="38"/>
  <c r="AE52" i="38"/>
  <c r="AF52" i="38" s="1"/>
  <c r="AE49" i="38"/>
  <c r="AF49" i="38" s="1"/>
  <c r="AE48" i="38"/>
  <c r="AF48" i="38" s="1"/>
  <c r="AE47" i="38"/>
  <c r="AF47" i="38" s="1"/>
  <c r="AE46" i="38"/>
  <c r="AF46" i="38" s="1"/>
  <c r="F5" i="38"/>
  <c r="L39" i="38"/>
  <c r="F35" i="38"/>
  <c r="AC35" i="38"/>
  <c r="AD35" i="38" s="1"/>
  <c r="V35" i="38"/>
  <c r="L35" i="38"/>
  <c r="S35" i="38" s="1"/>
  <c r="W35" i="38" l="1"/>
  <c r="AM35" i="38" s="1"/>
  <c r="AL35" i="38" s="1"/>
  <c r="S45" i="38"/>
  <c r="S39" i="38"/>
  <c r="S30" i="38"/>
  <c r="S21" i="38"/>
  <c r="S15" i="38"/>
  <c r="S4" i="38"/>
  <c r="O16" i="38"/>
  <c r="S16" i="38" s="1"/>
  <c r="N15" i="38"/>
  <c r="N21" i="38"/>
  <c r="N19" i="38"/>
  <c r="L44" i="38"/>
  <c r="S44" i="38" s="1"/>
  <c r="L19" i="38"/>
  <c r="L42" i="38"/>
  <c r="L41" i="38"/>
  <c r="S41" i="38" s="1"/>
  <c r="L38" i="38"/>
  <c r="S38" i="38" s="1"/>
  <c r="L37" i="38"/>
  <c r="S37" i="38" s="1"/>
  <c r="L36" i="38"/>
  <c r="S36" i="38" s="1"/>
  <c r="L34" i="38"/>
  <c r="S34" i="38" s="1"/>
  <c r="L31" i="38"/>
  <c r="L29" i="38"/>
  <c r="S29" i="38" s="1"/>
  <c r="L27" i="38"/>
  <c r="S27" i="38" s="1"/>
  <c r="L25" i="38"/>
  <c r="S25" i="38" s="1"/>
  <c r="L18" i="38"/>
  <c r="S18" i="38" s="1"/>
  <c r="L5" i="38"/>
  <c r="S5" i="38" s="1"/>
  <c r="K45" i="38"/>
  <c r="E37" i="38"/>
  <c r="E32" i="38"/>
  <c r="F28" i="38"/>
  <c r="F18" i="38"/>
  <c r="F15" i="38"/>
  <c r="AC4" i="38"/>
  <c r="AD4" i="38" s="1"/>
  <c r="AC5" i="38"/>
  <c r="AD5" i="38" s="1"/>
  <c r="AC6" i="38"/>
  <c r="AD6" i="38" s="1"/>
  <c r="AC15" i="38"/>
  <c r="AD15" i="38" s="1"/>
  <c r="AC16" i="38"/>
  <c r="AD16" i="38" s="1"/>
  <c r="AC17" i="38"/>
  <c r="AD17" i="38" s="1"/>
  <c r="AC18" i="38"/>
  <c r="AD18" i="38" s="1"/>
  <c r="AC3" i="38"/>
  <c r="AD3" i="38" s="1"/>
  <c r="AC21" i="38"/>
  <c r="AD21" i="38" s="1"/>
  <c r="AC25" i="38"/>
  <c r="AD25" i="38" s="1"/>
  <c r="AC27" i="38"/>
  <c r="AD27" i="38" s="1"/>
  <c r="AC29" i="38"/>
  <c r="AD29" i="38" s="1"/>
  <c r="AC30" i="38"/>
  <c r="AD30" i="38" s="1"/>
  <c r="AC31" i="38"/>
  <c r="AD31" i="38" s="1"/>
  <c r="AC32" i="38"/>
  <c r="AD32" i="38" s="1"/>
  <c r="AC34" i="38"/>
  <c r="AD34" i="38" s="1"/>
  <c r="AC36" i="38"/>
  <c r="AD36" i="38" s="1"/>
  <c r="AC37" i="38"/>
  <c r="AD37" i="38" s="1"/>
  <c r="AC38" i="38"/>
  <c r="AD38" i="38" s="1"/>
  <c r="AC39" i="38"/>
  <c r="AD39" i="38" s="1"/>
  <c r="AC41" i="38"/>
  <c r="AD41" i="38" s="1"/>
  <c r="AC42" i="38"/>
  <c r="AD42" i="38" s="1"/>
  <c r="AC44" i="38"/>
  <c r="AD44" i="38" s="1"/>
  <c r="AC45" i="38"/>
  <c r="AD45" i="38" s="1"/>
  <c r="AC19" i="38"/>
  <c r="AD19" i="38" s="1"/>
  <c r="AJ35" i="38" l="1"/>
  <c r="AK35" i="38" s="1"/>
  <c r="AN35" i="38"/>
  <c r="AO35" i="38"/>
  <c r="AE35" i="38"/>
  <c r="AF35" i="38" s="1"/>
  <c r="S42" i="38"/>
  <c r="S31" i="38"/>
  <c r="S19" i="38"/>
  <c r="V45" i="38"/>
  <c r="W45" i="38" s="1"/>
  <c r="AM45" i="38" s="1"/>
  <c r="AL45" i="38" s="1"/>
  <c r="V44" i="38"/>
  <c r="V42" i="38"/>
  <c r="V41" i="38"/>
  <c r="V39" i="38"/>
  <c r="W39" i="38" s="1"/>
  <c r="AM39" i="38" s="1"/>
  <c r="AL39" i="38" s="1"/>
  <c r="V38" i="38"/>
  <c r="V37" i="38"/>
  <c r="V36" i="38"/>
  <c r="V34" i="38"/>
  <c r="V32" i="38"/>
  <c r="V31" i="38"/>
  <c r="W31" i="38" s="1"/>
  <c r="AM31" i="38" s="1"/>
  <c r="AL31" i="38" s="1"/>
  <c r="V30" i="38"/>
  <c r="V29" i="38"/>
  <c r="V27" i="38"/>
  <c r="V25" i="38"/>
  <c r="V21" i="38"/>
  <c r="W21" i="38" s="1"/>
  <c r="AM21" i="38" s="1"/>
  <c r="AL21" i="38" s="1"/>
  <c r="V19" i="38"/>
  <c r="V18" i="38"/>
  <c r="V17" i="38"/>
  <c r="V16" i="38"/>
  <c r="V15" i="38"/>
  <c r="V6" i="38"/>
  <c r="V5" i="38"/>
  <c r="V3" i="38"/>
  <c r="W3" i="38" s="1"/>
  <c r="AM3" i="38" s="1"/>
  <c r="AL3" i="38" s="1"/>
  <c r="V4" i="38"/>
  <c r="L32" i="38"/>
  <c r="S32" i="38" s="1"/>
  <c r="L17" i="38"/>
  <c r="L6" i="38"/>
  <c r="E41" i="38"/>
  <c r="F41" i="38" s="1"/>
  <c r="F44" i="38"/>
  <c r="E38" i="38"/>
  <c r="F38" i="38" s="1"/>
  <c r="F32" i="38"/>
  <c r="F34" i="38"/>
  <c r="F36" i="38"/>
  <c r="F37" i="38"/>
  <c r="F30" i="38"/>
  <c r="F29" i="38"/>
  <c r="F27" i="38"/>
  <c r="G27" i="38" s="1"/>
  <c r="F4" i="38"/>
  <c r="F25" i="38"/>
  <c r="E26" i="38"/>
  <c r="F26" i="38" s="1"/>
  <c r="AN39" i="38" l="1"/>
  <c r="AO39" i="38"/>
  <c r="AJ39" i="38"/>
  <c r="AK39" i="38" s="1"/>
  <c r="AJ45" i="38"/>
  <c r="AK45" i="38" s="1"/>
  <c r="AN45" i="38"/>
  <c r="AO45" i="38"/>
  <c r="AO21" i="38"/>
  <c r="AJ21" i="38"/>
  <c r="AK21" i="38" s="1"/>
  <c r="AN21" i="38"/>
  <c r="AN31" i="38"/>
  <c r="AJ31" i="38"/>
  <c r="AK31" i="38" s="1"/>
  <c r="AO31" i="38"/>
  <c r="AE31" i="38"/>
  <c r="AF31" i="38" s="1"/>
  <c r="AO3" i="38"/>
  <c r="AJ3" i="38"/>
  <c r="AK3" i="38" s="1"/>
  <c r="AE39" i="38"/>
  <c r="AF39" i="38" s="1"/>
  <c r="AE45" i="38"/>
  <c r="AF45" i="38" s="1"/>
  <c r="AE3" i="38"/>
  <c r="AF3" i="38" s="1"/>
  <c r="AE21" i="38"/>
  <c r="AF21" i="38" s="1"/>
  <c r="W38" i="38"/>
  <c r="AM38" i="38" s="1"/>
  <c r="AL38" i="38" s="1"/>
  <c r="W15" i="38"/>
  <c r="AM15" i="38" s="1"/>
  <c r="AL15" i="38" s="1"/>
  <c r="W16" i="38"/>
  <c r="AM16" i="38" s="1"/>
  <c r="AL16" i="38" s="1"/>
  <c r="W36" i="38"/>
  <c r="AM36" i="38" s="1"/>
  <c r="AL36" i="38" s="1"/>
  <c r="W34" i="38"/>
  <c r="AM34" i="38" s="1"/>
  <c r="AL34" i="38" s="1"/>
  <c r="W44" i="38"/>
  <c r="AM44" i="38" s="1"/>
  <c r="AL44" i="38" s="1"/>
  <c r="W41" i="38"/>
  <c r="AM41" i="38" s="1"/>
  <c r="AL41" i="38" s="1"/>
  <c r="S6" i="38"/>
  <c r="W6" i="38"/>
  <c r="AM6" i="38" s="1"/>
  <c r="AL6" i="38" s="1"/>
  <c r="S17" i="38"/>
  <c r="W17" i="38"/>
  <c r="AM17" i="38" s="1"/>
  <c r="AL17" i="38" s="1"/>
  <c r="W18" i="38"/>
  <c r="AM18" i="38" s="1"/>
  <c r="AL18" i="38" s="1"/>
  <c r="W25" i="38"/>
  <c r="AM25" i="38" s="1"/>
  <c r="AL25" i="38" s="1"/>
  <c r="W4" i="38"/>
  <c r="AM4" i="38" s="1"/>
  <c r="AL4" i="38" s="1"/>
  <c r="W5" i="38"/>
  <c r="AM5" i="38" s="1"/>
  <c r="AL5" i="38" s="1"/>
  <c r="W42" i="38"/>
  <c r="AM42" i="38" s="1"/>
  <c r="AL42" i="38" s="1"/>
  <c r="W27" i="38"/>
  <c r="AM27" i="38" s="1"/>
  <c r="AL27" i="38" s="1"/>
  <c r="W29" i="38"/>
  <c r="AM29" i="38" s="1"/>
  <c r="AL29" i="38" s="1"/>
  <c r="W19" i="38"/>
  <c r="AM19" i="38" s="1"/>
  <c r="AL19" i="38" s="1"/>
  <c r="W30" i="38"/>
  <c r="AM30" i="38" s="1"/>
  <c r="AL30" i="38" s="1"/>
  <c r="W37" i="38"/>
  <c r="AM37" i="38" s="1"/>
  <c r="AL37" i="38" s="1"/>
  <c r="W32" i="38"/>
  <c r="AM32" i="38" s="1"/>
  <c r="AL32" i="38" s="1"/>
  <c r="AJ18" i="38" l="1"/>
  <c r="AK18" i="38" s="1"/>
  <c r="AO18" i="38"/>
  <c r="AN18" i="38"/>
  <c r="AN17" i="38"/>
  <c r="AJ17" i="38"/>
  <c r="AK17" i="38" s="1"/>
  <c r="AO17" i="38"/>
  <c r="AO6" i="38"/>
  <c r="AN6" i="38"/>
  <c r="AJ6" i="38"/>
  <c r="AK6" i="38" s="1"/>
  <c r="AN41" i="38"/>
  <c r="AJ41" i="38"/>
  <c r="AK41" i="38" s="1"/>
  <c r="AO41" i="38"/>
  <c r="AJ32" i="38"/>
  <c r="AK32" i="38" s="1"/>
  <c r="AN32" i="38"/>
  <c r="AO32" i="38"/>
  <c r="AO44" i="38"/>
  <c r="AJ44" i="38"/>
  <c r="AK44" i="38" s="1"/>
  <c r="AN44" i="38"/>
  <c r="AJ37" i="38"/>
  <c r="AK37" i="38" s="1"/>
  <c r="AN37" i="38"/>
  <c r="AO37" i="38"/>
  <c r="AJ34" i="38"/>
  <c r="AK34" i="38" s="1"/>
  <c r="AN34" i="38"/>
  <c r="AO34" i="38"/>
  <c r="AJ30" i="38"/>
  <c r="AK30" i="38" s="1"/>
  <c r="AN30" i="38"/>
  <c r="AO30" i="38"/>
  <c r="AO36" i="38"/>
  <c r="AJ36" i="38"/>
  <c r="AK36" i="38" s="1"/>
  <c r="AN36" i="38"/>
  <c r="AO19" i="38"/>
  <c r="AN19" i="38"/>
  <c r="AJ19" i="38"/>
  <c r="AK19" i="38" s="1"/>
  <c r="AJ16" i="38"/>
  <c r="AK16" i="38" s="1"/>
  <c r="AO16" i="38"/>
  <c r="AN16" i="38"/>
  <c r="AO29" i="38"/>
  <c r="AJ29" i="38"/>
  <c r="AK29" i="38" s="1"/>
  <c r="AN29" i="38"/>
  <c r="AJ15" i="38"/>
  <c r="AK15" i="38" s="1"/>
  <c r="AN15" i="38"/>
  <c r="AO15" i="38"/>
  <c r="AN27" i="38"/>
  <c r="AJ27" i="38"/>
  <c r="AK27" i="38" s="1"/>
  <c r="AO27" i="38"/>
  <c r="AJ38" i="38"/>
  <c r="AK38" i="38" s="1"/>
  <c r="AN38" i="38"/>
  <c r="AO38" i="38"/>
  <c r="AN42" i="38"/>
  <c r="AO42" i="38"/>
  <c r="AJ42" i="38"/>
  <c r="AK42" i="38" s="1"/>
  <c r="AJ5" i="38"/>
  <c r="AK5" i="38" s="1"/>
  <c r="AN5" i="38"/>
  <c r="AO5" i="38"/>
  <c r="AN4" i="38"/>
  <c r="AO4" i="38"/>
  <c r="AJ4" i="38"/>
  <c r="AK4" i="38" s="1"/>
  <c r="AO25" i="38"/>
  <c r="AN25" i="38"/>
  <c r="AJ25" i="38"/>
  <c r="AK25" i="38" s="1"/>
  <c r="AE29" i="38"/>
  <c r="AF29" i="38" s="1"/>
  <c r="AE27" i="38"/>
  <c r="AF27" i="38" s="1"/>
  <c r="AE42" i="38"/>
  <c r="AF42" i="38" s="1"/>
  <c r="AE25" i="38"/>
  <c r="AF25" i="38" s="1"/>
  <c r="AE41" i="38"/>
  <c r="AF41" i="38" s="1"/>
  <c r="AE44" i="38"/>
  <c r="AF44" i="38" s="1"/>
  <c r="AE37" i="38"/>
  <c r="AF37" i="38" s="1"/>
  <c r="AE34" i="38"/>
  <c r="AF34" i="38" s="1"/>
  <c r="AE30" i="38"/>
  <c r="AF30" i="38" s="1"/>
  <c r="AE36" i="38"/>
  <c r="AF36" i="38" s="1"/>
  <c r="AE6" i="38"/>
  <c r="AF6" i="38" s="1"/>
  <c r="AE19" i="38"/>
  <c r="AF19" i="38" s="1"/>
  <c r="AE16" i="38"/>
  <c r="AF16" i="38" s="1"/>
  <c r="AE15" i="38"/>
  <c r="AF15" i="38" s="1"/>
  <c r="AE5" i="38"/>
  <c r="AF5" i="38" s="1"/>
  <c r="AE4" i="38"/>
  <c r="AF4" i="38" s="1"/>
  <c r="AE18" i="38"/>
  <c r="AF18" i="38" s="1"/>
  <c r="AE17" i="38"/>
  <c r="AF17" i="38" s="1"/>
  <c r="AE38" i="38"/>
  <c r="AF38" i="38" s="1"/>
  <c r="AE32" i="38"/>
  <c r="AF32" i="38" s="1"/>
  <c r="AF59" i="38" l="1"/>
  <c r="AN59" i="38" l="1"/>
</calcChain>
</file>

<file path=xl/sharedStrings.xml><?xml version="1.0" encoding="utf-8"?>
<sst xmlns="http://schemas.openxmlformats.org/spreadsheetml/2006/main" count="259" uniqueCount="144">
  <si>
    <t>CMV</t>
  </si>
  <si>
    <t>Le Roi</t>
  </si>
  <si>
    <t>IVA</t>
  </si>
  <si>
    <t>Descripción</t>
  </si>
  <si>
    <t>EXTRAS</t>
  </si>
  <si>
    <t>Envío</t>
  </si>
  <si>
    <t>Cambio de talla</t>
  </si>
  <si>
    <t>Hechura</t>
  </si>
  <si>
    <t>Engaste</t>
  </si>
  <si>
    <t>Otros</t>
  </si>
  <si>
    <t>María Teresa</t>
  </si>
  <si>
    <t>Hera</t>
  </si>
  <si>
    <t>Jo</t>
  </si>
  <si>
    <t>Turmalina verde talla oval 8x6mm</t>
  </si>
  <si>
    <t>Gorgonia</t>
  </si>
  <si>
    <t>Artemis</t>
  </si>
  <si>
    <t>Anthyllis</t>
  </si>
  <si>
    <t>Margot</t>
  </si>
  <si>
    <t>Millapora</t>
  </si>
  <si>
    <t>Valentina</t>
  </si>
  <si>
    <t>Artemisa</t>
  </si>
  <si>
    <t>Margarita</t>
  </si>
  <si>
    <t>Hedy</t>
  </si>
  <si>
    <t>Margaret</t>
  </si>
  <si>
    <t>Rosalinda</t>
  </si>
  <si>
    <t>Julieta</t>
  </si>
  <si>
    <t>Strombus</t>
  </si>
  <si>
    <t>Soleil</t>
  </si>
  <si>
    <t>Afrodita</t>
  </si>
  <si>
    <t>Frida</t>
  </si>
  <si>
    <t>March</t>
  </si>
  <si>
    <t>PIEDRAS</t>
  </si>
  <si>
    <t>Decripción</t>
  </si>
  <si>
    <t xml:space="preserve">Total </t>
  </si>
  <si>
    <t>DIAMANTES</t>
  </si>
  <si>
    <t>JOYAS</t>
  </si>
  <si>
    <t>Tipo</t>
  </si>
  <si>
    <t>Nombre</t>
  </si>
  <si>
    <t>Colgante</t>
  </si>
  <si>
    <t>-</t>
  </si>
  <si>
    <t>€/ud</t>
  </si>
  <si>
    <t>Zafiro talla brillante 4,5mm</t>
  </si>
  <si>
    <t>€ / qt</t>
  </si>
  <si>
    <t>qt (ud)</t>
  </si>
  <si>
    <t>?</t>
  </si>
  <si>
    <t>Pendientes</t>
  </si>
  <si>
    <t>Dos aguamarinas talla princesa 3,5x3,5mm</t>
  </si>
  <si>
    <t>Dos aguamarinas talla cojín 4x4mm</t>
  </si>
  <si>
    <t>Zafiro talla Oval 5x4mm</t>
  </si>
  <si>
    <t>Granate rodolita talla octogonal 7x5x3mm</t>
  </si>
  <si>
    <t>Amatistas talla octogonal 12x7x5 (altura) mm</t>
  </si>
  <si>
    <t>Sortija</t>
  </si>
  <si>
    <t>Esmeralda 8x6 talla octogonal</t>
  </si>
  <si>
    <t>Esmeralda 5mm talla brillante</t>
  </si>
  <si>
    <t>Rubí talla carre 3x3mm</t>
  </si>
  <si>
    <t>Aguamarina canto vivo 7x5mm</t>
  </si>
  <si>
    <t>Cuatro Zafiros talla carré 2x2mm</t>
  </si>
  <si>
    <t>Seis zafiros talla carré 1.8x1.8mm</t>
  </si>
  <si>
    <t>Esmeralda talla octogonal 7x5mm</t>
  </si>
  <si>
    <t>Dos aguamarina talla pera 6x4mm</t>
  </si>
  <si>
    <t>Cuatro diamantes talla brillante 1,5mm</t>
  </si>
  <si>
    <t>Seis diamantes talla brillante 2.5mm</t>
  </si>
  <si>
    <t xml:space="preserve">28 diamantes talla brillantes 2mm </t>
  </si>
  <si>
    <t>2 diamantes talla brillante 3mm</t>
  </si>
  <si>
    <t>OTROS</t>
  </si>
  <si>
    <t>Total</t>
  </si>
  <si>
    <t>Presiones</t>
  </si>
  <si>
    <t>Criollas</t>
  </si>
  <si>
    <t>Cuatro diamantes talla princesa 2x2mm</t>
  </si>
  <si>
    <t>Dos diamantes talla princesa 2x2mm</t>
  </si>
  <si>
    <t>Ocho diamantes talla brillante 1,8mm</t>
  </si>
  <si>
    <t>Un diamante talla brillante 4mm</t>
  </si>
  <si>
    <t>Diecisiete diamantes talla brillante 1mm</t>
  </si>
  <si>
    <t>Dos diamantes talla brillante 1,8 mm</t>
  </si>
  <si>
    <t>Catorce diamantes talla brillantes 1,2mm</t>
  </si>
  <si>
    <t>Dos diamantes talla brillante 2,3mm</t>
  </si>
  <si>
    <t>Catorce diamantes talla brillantes 1,4mm</t>
  </si>
  <si>
    <t>Seis diamantes talla brillante 1.5mm</t>
  </si>
  <si>
    <t xml:space="preserve">Ocho diamates talla brillante 1,5 mm </t>
  </si>
  <si>
    <t>Un diamante talla brillante 3,5 mm</t>
  </si>
  <si>
    <t>Gr</t>
  </si>
  <si>
    <t>€/gr oro</t>
  </si>
  <si>
    <t>Total oro</t>
  </si>
  <si>
    <t xml:space="preserve">TALLER </t>
  </si>
  <si>
    <t>PVP</t>
  </si>
  <si>
    <t>INGRESO</t>
  </si>
  <si>
    <t>RESUMEN</t>
  </si>
  <si>
    <t>2 diamantes talla brillante 2.3mm</t>
  </si>
  <si>
    <t>Ángeles</t>
  </si>
  <si>
    <t>Antonia</t>
  </si>
  <si>
    <t>Magdalena</t>
  </si>
  <si>
    <t>Malala</t>
  </si>
  <si>
    <t>Aluna</t>
  </si>
  <si>
    <t>Ramona</t>
  </si>
  <si>
    <t>Zafiro talla oval 6x4mm</t>
  </si>
  <si>
    <t>Cuatro rubíes talla carré 1.8x1.8mm</t>
  </si>
  <si>
    <t>Dos rodolitas 2.3mm talla brillante</t>
  </si>
  <si>
    <t>Dos Rodolitas 2.5mm talla brillante</t>
  </si>
  <si>
    <t>Diamantes talla brillante de 2mm (2), 2.5 mm (2), 1.8 mm (2), 1.5mm (2)</t>
  </si>
  <si>
    <t>Diamante talla brillante de 1.3mm</t>
  </si>
  <si>
    <t>Siete diamantes talla brillante de 1.5mm</t>
  </si>
  <si>
    <t>Treinta y dos diamantes talla brillante 1.20 mm</t>
  </si>
  <si>
    <t>Diamante central talla princesa 0.27 3.6x3.6mm</t>
  </si>
  <si>
    <t>Total Barto fijo</t>
  </si>
  <si>
    <t>Aura</t>
  </si>
  <si>
    <t>Zafiro talla octogonal 7x5mm</t>
  </si>
  <si>
    <t>38 diam 1,5 mm 24 diam 1,3 mm 6 diam 1,1mm 2 diam 2mm 2 diam 2,4 mm</t>
  </si>
  <si>
    <t xml:space="preserve">Catorce diamantes talla brillante 1,5mm </t>
  </si>
  <si>
    <t>Un diamante talla brillante 3,9mm</t>
  </si>
  <si>
    <t xml:space="preserve">Granate rodolita talla pera 3x5mm </t>
  </si>
  <si>
    <t>B. Bruto (sin fijos)</t>
  </si>
  <si>
    <t>% SIN FIJOS</t>
  </si>
  <si>
    <t>Mariet</t>
  </si>
  <si>
    <t>24 zafiros talla brillante de 1.3mm de diámetro</t>
  </si>
  <si>
    <t>Seis diamantes talla brillante G/H VS1 (0.06 quilates)</t>
  </si>
  <si>
    <t>Dos diamantes talla brillante G/H VS1 de 2.3mm (0.08 quilates)</t>
  </si>
  <si>
    <t>Un diamante talla brillante G/H VS1 de 3.1mm (0.10 quilates)</t>
  </si>
  <si>
    <t>23  brillantes1.2mm</t>
  </si>
  <si>
    <t>9 diamantes talla brillantede 1.4mm</t>
  </si>
  <si>
    <t>6 diamantes talla brillante de 1.1mm de diámetro</t>
  </si>
  <si>
    <t>12 diamantes talla brillante de 1.5mm</t>
  </si>
  <si>
    <t xml:space="preserve">1 diamante central talla brillante de 4.3mm </t>
  </si>
  <si>
    <t>Laura</t>
  </si>
  <si>
    <t>1 diamante talla esmeralda H VS1 de 6x4mm (0.80 quilates)</t>
  </si>
  <si>
    <t>Cuatro diamantes talla brillante de 1.5mm (0.06 quilates total)</t>
  </si>
  <si>
    <t xml:space="preserve">Cadena </t>
  </si>
  <si>
    <t>Pulsera</t>
  </si>
  <si>
    <t>30 + cadena a 45 asa a 40</t>
  </si>
  <si>
    <t>18 cm</t>
  </si>
  <si>
    <t>Charm</t>
  </si>
  <si>
    <t>palo</t>
  </si>
  <si>
    <t>medalla</t>
  </si>
  <si>
    <t>agata</t>
  </si>
  <si>
    <t>diamante</t>
  </si>
  <si>
    <t>Aros</t>
  </si>
  <si>
    <t>Kate</t>
  </si>
  <si>
    <t>Moss</t>
  </si>
  <si>
    <t>Aniston (racimo)</t>
  </si>
  <si>
    <t xml:space="preserve">Roberts </t>
  </si>
  <si>
    <t>Alianza Bullock brillantes</t>
  </si>
  <si>
    <t>Parker chatón</t>
  </si>
  <si>
    <t>Winona(Rosetón)</t>
  </si>
  <si>
    <t>Crawford  carril</t>
  </si>
  <si>
    <t>Triple diam.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</si>
</sst>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7">
    <xf numFmtId="0" fontId="0" fillId="0" borderId="0" xfId="0"/>
    <xf numFmtId="0" fontId="0" fillId="0" borderId="1" xfId="0" applyBorder="1"/>
    <xf numFmtId="0" fontId="0" fillId="3" borderId="2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44" fontId="0" fillId="0" borderId="5" xfId="1" applyFont="1" applyBorder="1" applyAlignment="1">
      <alignment horizontal="center" vertical="center"/>
    </xf>
    <xf numFmtId="0" fontId="0" fillId="0" borderId="0" xfId="0" applyBorder="1"/>
    <xf numFmtId="164" fontId="0" fillId="0" borderId="0" xfId="1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horizontal="center"/>
    </xf>
    <xf numFmtId="164" fontId="0" fillId="0" borderId="11" xfId="1" applyNumberFormat="1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44" fontId="0" fillId="0" borderId="11" xfId="1" applyFont="1" applyBorder="1" applyAlignment="1">
      <alignment horizontal="center" vertical="center"/>
    </xf>
    <xf numFmtId="44" fontId="5" fillId="0" borderId="7" xfId="1" applyFont="1" applyBorder="1" applyAlignment="1">
      <alignment horizontal="center" vertical="center"/>
    </xf>
    <xf numFmtId="0" fontId="0" fillId="0" borderId="10" xfId="0" applyBorder="1"/>
    <xf numFmtId="0" fontId="0" fillId="0" borderId="7" xfId="0" applyBorder="1"/>
    <xf numFmtId="0" fontId="0" fillId="0" borderId="3" xfId="0" applyBorder="1"/>
    <xf numFmtId="0" fontId="0" fillId="0" borderId="12" xfId="0" applyBorder="1"/>
    <xf numFmtId="0" fontId="0" fillId="0" borderId="11" xfId="0" applyBorder="1" applyAlignment="1">
      <alignment horizontal="left" vertical="center"/>
    </xf>
    <xf numFmtId="164" fontId="0" fillId="0" borderId="11" xfId="1" applyNumberFormat="1" applyFont="1" applyBorder="1" applyAlignment="1">
      <alignment horizontal="center" vertical="center"/>
    </xf>
    <xf numFmtId="164" fontId="5" fillId="0" borderId="7" xfId="1" applyNumberFormat="1" applyFont="1" applyBorder="1" applyAlignment="1">
      <alignment horizontal="center" vertical="center"/>
    </xf>
    <xf numFmtId="44" fontId="5" fillId="0" borderId="7" xfId="1" applyFont="1" applyBorder="1" applyAlignment="1"/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center"/>
    </xf>
    <xf numFmtId="164" fontId="0" fillId="0" borderId="14" xfId="1" applyNumberFormat="1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5" fillId="0" borderId="15" xfId="1" applyNumberFormat="1" applyFont="1" applyBorder="1" applyAlignment="1">
      <alignment horizontal="center" vertical="center"/>
    </xf>
    <xf numFmtId="44" fontId="0" fillId="0" borderId="14" xfId="1" applyFont="1" applyBorder="1" applyAlignment="1">
      <alignment horizontal="center" vertical="center"/>
    </xf>
    <xf numFmtId="44" fontId="5" fillId="0" borderId="15" xfId="1" applyFont="1" applyBorder="1"/>
    <xf numFmtId="44" fontId="0" fillId="0" borderId="11" xfId="1" applyFont="1" applyBorder="1"/>
    <xf numFmtId="0" fontId="0" fillId="0" borderId="11" xfId="0" applyBorder="1" applyAlignment="1"/>
    <xf numFmtId="44" fontId="5" fillId="0" borderId="7" xfId="1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44" fontId="0" fillId="0" borderId="3" xfId="1" applyFont="1" applyBorder="1" applyAlignment="1">
      <alignment horizontal="center" vertical="center"/>
    </xf>
    <xf numFmtId="44" fontId="0" fillId="0" borderId="3" xfId="1" applyFont="1" applyBorder="1"/>
    <xf numFmtId="164" fontId="0" fillId="0" borderId="3" xfId="1" applyNumberFormat="1" applyFont="1" applyBorder="1" applyAlignment="1">
      <alignment horizontal="center" vertical="center"/>
    </xf>
    <xf numFmtId="164" fontId="5" fillId="0" borderId="12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/>
    </xf>
    <xf numFmtId="44" fontId="4" fillId="0" borderId="11" xfId="1" applyFont="1" applyBorder="1" applyAlignment="1"/>
    <xf numFmtId="164" fontId="0" fillId="0" borderId="7" xfId="1" applyNumberFormat="1" applyFont="1" applyBorder="1" applyAlignment="1">
      <alignment horizontal="center" vertical="center"/>
    </xf>
    <xf numFmtId="44" fontId="4" fillId="0" borderId="11" xfId="1" applyFont="1" applyBorder="1" applyAlignment="1">
      <alignment horizontal="center" vertical="center"/>
    </xf>
    <xf numFmtId="44" fontId="4" fillId="0" borderId="5" xfId="1" applyFont="1" applyBorder="1" applyAlignment="1">
      <alignment horizontal="center" vertical="center"/>
    </xf>
    <xf numFmtId="0" fontId="3" fillId="0" borderId="5" xfId="0" applyFont="1" applyBorder="1" applyAlignment="1"/>
    <xf numFmtId="44" fontId="5" fillId="0" borderId="12" xfId="1" applyFont="1" applyBorder="1"/>
    <xf numFmtId="164" fontId="0" fillId="0" borderId="3" xfId="1" applyNumberFormat="1" applyFont="1" applyBorder="1"/>
    <xf numFmtId="44" fontId="4" fillId="0" borderId="3" xfId="1" applyFont="1" applyFill="1" applyBorder="1" applyAlignment="1">
      <alignment horizontal="center" vertical="center"/>
    </xf>
    <xf numFmtId="164" fontId="0" fillId="0" borderId="11" xfId="1" applyNumberFormat="1" applyFont="1" applyBorder="1"/>
    <xf numFmtId="44" fontId="4" fillId="0" borderId="11" xfId="1" applyFont="1" applyFill="1" applyBorder="1" applyAlignment="1">
      <alignment horizontal="center" vertical="center"/>
    </xf>
    <xf numFmtId="44" fontId="4" fillId="0" borderId="5" xfId="1" applyFont="1" applyBorder="1" applyAlignment="1">
      <alignment vertical="center"/>
    </xf>
    <xf numFmtId="0" fontId="0" fillId="0" borderId="3" xfId="0" applyBorder="1" applyAlignment="1">
      <alignment vertical="center"/>
    </xf>
    <xf numFmtId="44" fontId="0" fillId="0" borderId="4" xfId="1" applyFont="1" applyBorder="1"/>
    <xf numFmtId="164" fontId="0" fillId="0" borderId="11" xfId="0" applyNumberFormat="1" applyBorder="1"/>
    <xf numFmtId="164" fontId="0" fillId="0" borderId="3" xfId="0" applyNumberFormat="1" applyBorder="1"/>
    <xf numFmtId="164" fontId="0" fillId="0" borderId="13" xfId="1" applyNumberFormat="1" applyFont="1" applyBorder="1"/>
    <xf numFmtId="164" fontId="0" fillId="0" borderId="10" xfId="1" applyNumberFormat="1" applyFont="1" applyBorder="1"/>
    <xf numFmtId="164" fontId="0" fillId="0" borderId="16" xfId="1" applyNumberFormat="1" applyFont="1" applyBorder="1"/>
    <xf numFmtId="164" fontId="0" fillId="0" borderId="14" xfId="1" applyNumberFormat="1" applyFont="1" applyBorder="1"/>
    <xf numFmtId="164" fontId="0" fillId="0" borderId="3" xfId="1" applyNumberFormat="1" applyFont="1" applyBorder="1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44" fontId="0" fillId="5" borderId="2" xfId="0" applyNumberFormat="1" applyFill="1" applyBorder="1"/>
    <xf numFmtId="44" fontId="0" fillId="5" borderId="18" xfId="0" applyNumberFormat="1" applyFill="1" applyBorder="1"/>
    <xf numFmtId="44" fontId="0" fillId="5" borderId="9" xfId="0" applyNumberFormat="1" applyFill="1" applyBorder="1"/>
    <xf numFmtId="164" fontId="0" fillId="0" borderId="19" xfId="1" applyNumberFormat="1" applyFont="1" applyBorder="1"/>
    <xf numFmtId="164" fontId="0" fillId="0" borderId="4" xfId="1" applyNumberFormat="1" applyFont="1" applyBorder="1"/>
    <xf numFmtId="164" fontId="0" fillId="0" borderId="3" xfId="1" applyNumberFormat="1" applyFont="1" applyBorder="1" applyAlignment="1"/>
    <xf numFmtId="164" fontId="0" fillId="0" borderId="13" xfId="1" applyNumberFormat="1" applyFont="1" applyBorder="1" applyAlignment="1"/>
    <xf numFmtId="164" fontId="0" fillId="0" borderId="7" xfId="1" applyNumberFormat="1" applyFont="1" applyBorder="1"/>
    <xf numFmtId="164" fontId="0" fillId="0" borderId="17" xfId="1" applyNumberFormat="1" applyFont="1" applyBorder="1"/>
    <xf numFmtId="164" fontId="0" fillId="0" borderId="12" xfId="1" applyNumberFormat="1" applyFont="1" applyBorder="1"/>
    <xf numFmtId="164" fontId="0" fillId="0" borderId="10" xfId="1" applyNumberFormat="1" applyFont="1" applyBorder="1" applyAlignment="1">
      <alignment vertical="center"/>
    </xf>
    <xf numFmtId="164" fontId="0" fillId="0" borderId="11" xfId="1" applyNumberFormat="1" applyFont="1" applyBorder="1" applyAlignment="1">
      <alignment vertical="center"/>
    </xf>
    <xf numFmtId="164" fontId="0" fillId="0" borderId="19" xfId="1" applyNumberFormat="1" applyFont="1" applyBorder="1" applyAlignment="1">
      <alignment vertical="center"/>
    </xf>
    <xf numFmtId="164" fontId="0" fillId="0" borderId="4" xfId="1" applyNumberFormat="1" applyFont="1" applyBorder="1" applyAlignment="1">
      <alignment vertical="center"/>
    </xf>
    <xf numFmtId="164" fontId="0" fillId="0" borderId="10" xfId="1" applyNumberFormat="1" applyFont="1" applyFill="1" applyBorder="1"/>
    <xf numFmtId="164" fontId="5" fillId="4" borderId="11" xfId="0" applyNumberFormat="1" applyFont="1" applyFill="1" applyBorder="1"/>
    <xf numFmtId="164" fontId="5" fillId="4" borderId="3" xfId="0" applyNumberFormat="1" applyFont="1" applyFill="1" applyBorder="1"/>
    <xf numFmtId="164" fontId="5" fillId="4" borderId="4" xfId="0" applyNumberFormat="1" applyFont="1" applyFill="1" applyBorder="1"/>
    <xf numFmtId="164" fontId="0" fillId="0" borderId="11" xfId="0" applyNumberFormat="1" applyFill="1" applyBorder="1"/>
    <xf numFmtId="164" fontId="0" fillId="0" borderId="4" xfId="0" applyNumberFormat="1" applyFill="1" applyBorder="1"/>
    <xf numFmtId="164" fontId="0" fillId="0" borderId="3" xfId="0" applyNumberFormat="1" applyFill="1" applyBorder="1"/>
    <xf numFmtId="9" fontId="6" fillId="0" borderId="3" xfId="2" applyFont="1" applyBorder="1" applyAlignment="1">
      <alignment horizontal="center"/>
    </xf>
    <xf numFmtId="9" fontId="6" fillId="0" borderId="11" xfId="2" applyFont="1" applyBorder="1" applyAlignment="1">
      <alignment horizontal="center"/>
    </xf>
    <xf numFmtId="9" fontId="6" fillId="0" borderId="4" xfId="2" applyFont="1" applyBorder="1" applyAlignment="1">
      <alignment horizontal="center"/>
    </xf>
    <xf numFmtId="164" fontId="0" fillId="0" borderId="0" xfId="0" applyNumberFormat="1"/>
    <xf numFmtId="0" fontId="0" fillId="0" borderId="3" xfId="0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164" fontId="7" fillId="0" borderId="11" xfId="1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44" fontId="7" fillId="0" borderId="11" xfId="1" applyFont="1" applyBorder="1" applyAlignment="1">
      <alignment horizontal="center" vertical="center"/>
    </xf>
    <xf numFmtId="44" fontId="0" fillId="0" borderId="7" xfId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/>
    </xf>
    <xf numFmtId="44" fontId="0" fillId="0" borderId="11" xfId="0" applyNumberFormat="1" applyBorder="1"/>
    <xf numFmtId="0" fontId="0" fillId="0" borderId="11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44" fontId="0" fillId="0" borderId="0" xfId="1" applyFont="1" applyBorder="1" applyAlignment="1">
      <alignment horizontal="center" vertical="center"/>
    </xf>
    <xf numFmtId="44" fontId="4" fillId="0" borderId="14" xfId="1" applyFont="1" applyBorder="1" applyAlignment="1">
      <alignment horizontal="center" vertical="center"/>
    </xf>
    <xf numFmtId="44" fontId="8" fillId="0" borderId="15" xfId="1" applyFont="1" applyBorder="1" applyAlignment="1">
      <alignment horizontal="center" vertical="center"/>
    </xf>
    <xf numFmtId="44" fontId="8" fillId="0" borderId="7" xfId="1" applyFont="1" applyBorder="1"/>
    <xf numFmtId="44" fontId="4" fillId="0" borderId="7" xfId="1" applyFont="1" applyBorder="1"/>
    <xf numFmtId="0" fontId="8" fillId="0" borderId="11" xfId="0" applyFont="1" applyBorder="1" applyAlignment="1">
      <alignment horizontal="center"/>
    </xf>
    <xf numFmtId="0" fontId="4" fillId="0" borderId="11" xfId="0" applyFont="1" applyBorder="1" applyAlignment="1">
      <alignment horizontal="left" vertical="center"/>
    </xf>
    <xf numFmtId="164" fontId="4" fillId="0" borderId="10" xfId="1" applyNumberFormat="1" applyFont="1" applyBorder="1"/>
    <xf numFmtId="164" fontId="4" fillId="0" borderId="11" xfId="1" applyNumberFormat="1" applyFont="1" applyBorder="1"/>
    <xf numFmtId="9" fontId="5" fillId="0" borderId="0" xfId="2" applyFont="1" applyAlignment="1">
      <alignment horizontal="center" vertical="center"/>
    </xf>
    <xf numFmtId="0" fontId="4" fillId="0" borderId="11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4" fontId="5" fillId="0" borderId="12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44" fontId="0" fillId="0" borderId="3" xfId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/>
    </xf>
    <xf numFmtId="0" fontId="4" fillId="0" borderId="3" xfId="0" applyFont="1" applyFill="1" applyBorder="1" applyAlignment="1">
      <alignment horizontal="left" vertical="center"/>
    </xf>
    <xf numFmtId="0" fontId="0" fillId="0" borderId="6" xfId="0" applyBorder="1"/>
    <xf numFmtId="0" fontId="0" fillId="0" borderId="20" xfId="0" applyBorder="1"/>
    <xf numFmtId="0" fontId="0" fillId="3" borderId="10" xfId="0" applyFill="1" applyBorder="1" applyAlignment="1">
      <alignment horizontal="center" vertical="center"/>
    </xf>
    <xf numFmtId="9" fontId="6" fillId="0" borderId="7" xfId="2" applyFont="1" applyBorder="1" applyAlignment="1">
      <alignment horizontal="center"/>
    </xf>
    <xf numFmtId="9" fontId="6" fillId="0" borderId="17" xfId="2" applyFont="1" applyBorder="1" applyAlignment="1">
      <alignment horizontal="center"/>
    </xf>
    <xf numFmtId="164" fontId="4" fillId="0" borderId="10" xfId="1" applyNumberFormat="1" applyFont="1" applyFill="1" applyBorder="1"/>
    <xf numFmtId="164" fontId="4" fillId="0" borderId="13" xfId="1" applyNumberFormat="1" applyFont="1" applyFill="1" applyBorder="1"/>
    <xf numFmtId="164" fontId="4" fillId="0" borderId="10" xfId="1" applyNumberFormat="1" applyFont="1" applyFill="1" applyBorder="1" applyAlignment="1">
      <alignment vertical="center"/>
    </xf>
    <xf numFmtId="164" fontId="4" fillId="0" borderId="10" xfId="1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5" xfId="0" applyBorder="1"/>
    <xf numFmtId="44" fontId="0" fillId="0" borderId="5" xfId="0" applyNumberFormat="1" applyBorder="1"/>
    <xf numFmtId="44" fontId="5" fillId="0" borderId="6" xfId="1" applyFont="1" applyBorder="1"/>
    <xf numFmtId="0" fontId="0" fillId="0" borderId="13" xfId="0" applyBorder="1"/>
    <xf numFmtId="164" fontId="0" fillId="0" borderId="7" xfId="0" applyNumberFormat="1" applyBorder="1"/>
    <xf numFmtId="0" fontId="0" fillId="0" borderId="11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0" borderId="8" xfId="0" applyBorder="1"/>
    <xf numFmtId="0" fontId="0" fillId="0" borderId="13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164" fontId="8" fillId="4" borderId="11" xfId="0" applyNumberFormat="1" applyFont="1" applyFill="1" applyBorder="1"/>
    <xf numFmtId="0" fontId="0" fillId="0" borderId="7" xfId="0" applyFill="1" applyBorder="1"/>
    <xf numFmtId="0" fontId="0" fillId="0" borderId="3" xfId="0" applyBorder="1" applyAlignment="1">
      <alignment horizontal="center" vertical="center"/>
    </xf>
    <xf numFmtId="44" fontId="4" fillId="0" borderId="3" xfId="1" applyFont="1" applyBorder="1" applyAlignment="1">
      <alignment horizontal="center" vertical="center"/>
    </xf>
    <xf numFmtId="44" fontId="8" fillId="0" borderId="12" xfId="1" applyFont="1" applyBorder="1" applyAlignment="1">
      <alignment horizontal="center" vertical="center"/>
    </xf>
    <xf numFmtId="44" fontId="8" fillId="0" borderId="7" xfId="1" applyFont="1" applyBorder="1" applyAlignment="1">
      <alignment horizontal="center" vertical="center"/>
    </xf>
    <xf numFmtId="0" fontId="0" fillId="0" borderId="19" xfId="0" applyBorder="1"/>
    <xf numFmtId="0" fontId="0" fillId="0" borderId="17" xfId="0" applyBorder="1"/>
    <xf numFmtId="0" fontId="0" fillId="0" borderId="4" xfId="0" applyBorder="1"/>
    <xf numFmtId="0" fontId="0" fillId="0" borderId="19" xfId="0" applyBorder="1" applyAlignment="1">
      <alignment horizontal="center" vertical="center"/>
    </xf>
    <xf numFmtId="44" fontId="8" fillId="0" borderId="17" xfId="1" applyFont="1" applyBorder="1" applyAlignment="1">
      <alignment horizontal="center" vertical="center"/>
    </xf>
    <xf numFmtId="164" fontId="0" fillId="0" borderId="19" xfId="1" applyNumberFormat="1" applyFont="1" applyFill="1" applyBorder="1"/>
    <xf numFmtId="164" fontId="0" fillId="0" borderId="17" xfId="0" applyNumberFormat="1" applyBorder="1"/>
    <xf numFmtId="164" fontId="0" fillId="0" borderId="0" xfId="1" applyNumberFormat="1" applyFont="1" applyBorder="1"/>
    <xf numFmtId="44" fontId="0" fillId="0" borderId="5" xfId="1" applyFont="1" applyBorder="1"/>
    <xf numFmtId="0" fontId="0" fillId="0" borderId="10" xfId="0" applyFill="1" applyBorder="1"/>
    <xf numFmtId="164" fontId="8" fillId="0" borderId="11" xfId="1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9" fontId="6" fillId="0" borderId="0" xfId="2" applyFont="1" applyBorder="1" applyAlignment="1">
      <alignment horizontal="center" vertical="center"/>
    </xf>
    <xf numFmtId="164" fontId="0" fillId="0" borderId="3" xfId="1" applyNumberFormat="1" applyFont="1" applyBorder="1" applyAlignment="1">
      <alignment vertical="center"/>
    </xf>
    <xf numFmtId="9" fontId="6" fillId="0" borderId="0" xfId="2" applyFont="1" applyBorder="1" applyAlignment="1">
      <alignment horizontal="center"/>
    </xf>
    <xf numFmtId="9" fontId="6" fillId="0" borderId="12" xfId="2" applyFont="1" applyBorder="1" applyAlignment="1">
      <alignment horizontal="center"/>
    </xf>
    <xf numFmtId="164" fontId="0" fillId="0" borderId="8" xfId="1" applyNumberFormat="1" applyFont="1" applyBorder="1" applyAlignment="1">
      <alignment horizontal="center" vertical="center"/>
    </xf>
    <xf numFmtId="164" fontId="0" fillId="0" borderId="13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164" fontId="0" fillId="0" borderId="5" xfId="1" applyNumberFormat="1" applyFont="1" applyFill="1" applyBorder="1" applyAlignment="1">
      <alignment horizontal="center" vertical="center"/>
    </xf>
    <xf numFmtId="164" fontId="0" fillId="0" borderId="3" xfId="1" applyNumberFormat="1" applyFont="1" applyFill="1" applyBorder="1" applyAlignment="1">
      <alignment horizontal="center" vertical="center"/>
    </xf>
    <xf numFmtId="164" fontId="5" fillId="4" borderId="5" xfId="1" applyNumberFormat="1" applyFont="1" applyFill="1" applyBorder="1" applyAlignment="1">
      <alignment horizontal="center" vertical="center"/>
    </xf>
    <xf numFmtId="164" fontId="5" fillId="4" borderId="3" xfId="1" applyNumberFormat="1" applyFont="1" applyFill="1" applyBorder="1" applyAlignment="1">
      <alignment horizontal="center" vertical="center"/>
    </xf>
    <xf numFmtId="9" fontId="6" fillId="0" borderId="6" xfId="2" applyFont="1" applyBorder="1" applyAlignment="1">
      <alignment horizontal="center"/>
    </xf>
    <xf numFmtId="9" fontId="6" fillId="0" borderId="12" xfId="2" applyFont="1" applyBorder="1" applyAlignment="1">
      <alignment horizontal="center"/>
    </xf>
    <xf numFmtId="9" fontId="6" fillId="0" borderId="6" xfId="2" applyFont="1" applyBorder="1" applyAlignment="1">
      <alignment horizontal="center" vertical="center"/>
    </xf>
    <xf numFmtId="9" fontId="6" fillId="0" borderId="21" xfId="2" applyFont="1" applyBorder="1" applyAlignment="1">
      <alignment horizontal="center" vertical="center"/>
    </xf>
    <xf numFmtId="9" fontId="6" fillId="0" borderId="12" xfId="2" applyFont="1" applyBorder="1" applyAlignment="1">
      <alignment horizontal="center" vertical="center"/>
    </xf>
    <xf numFmtId="164" fontId="0" fillId="0" borderId="20" xfId="1" applyNumberFormat="1" applyFont="1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5" xfId="0" applyNumberFormat="1" applyFill="1" applyBorder="1" applyAlignment="1">
      <alignment horizontal="center" vertical="center"/>
    </xf>
    <xf numFmtId="164" fontId="0" fillId="0" borderId="0" xfId="0" applyNumberFormat="1" applyFill="1" applyBorder="1" applyAlignment="1">
      <alignment horizontal="center" vertical="center"/>
    </xf>
    <xf numFmtId="164" fontId="0" fillId="0" borderId="3" xfId="0" applyNumberForma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0" xfId="0" applyNumberFormat="1" applyFont="1" applyFill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center" vertical="center"/>
    </xf>
    <xf numFmtId="164" fontId="0" fillId="0" borderId="8" xfId="1" applyNumberFormat="1" applyFont="1" applyFill="1" applyBorder="1" applyAlignment="1">
      <alignment horizontal="center" vertical="center"/>
    </xf>
    <xf numFmtId="164" fontId="0" fillId="0" borderId="13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 applyAlignment="1">
      <alignment horizontal="center" vertical="center"/>
    </xf>
    <xf numFmtId="164" fontId="5" fillId="4" borderId="0" xfId="1" applyNumberFormat="1" applyFont="1" applyFill="1" applyBorder="1" applyAlignment="1">
      <alignment horizontal="center" vertical="center"/>
    </xf>
    <xf numFmtId="164" fontId="4" fillId="0" borderId="8" xfId="1" applyNumberFormat="1" applyFont="1" applyBorder="1" applyAlignment="1">
      <alignment horizontal="center" vertical="center"/>
    </xf>
    <xf numFmtId="164" fontId="4" fillId="0" borderId="13" xfId="1" applyNumberFormat="1" applyFont="1" applyBorder="1" applyAlignment="1">
      <alignment horizontal="center" vertical="center"/>
    </xf>
    <xf numFmtId="164" fontId="4" fillId="0" borderId="8" xfId="1" applyNumberFormat="1" applyFont="1" applyFill="1" applyBorder="1" applyAlignment="1">
      <alignment horizontal="center" vertical="center"/>
    </xf>
    <xf numFmtId="164" fontId="4" fillId="0" borderId="13" xfId="1" applyNumberFormat="1" applyFont="1" applyFill="1" applyBorder="1" applyAlignment="1">
      <alignment horizontal="center" vertical="center"/>
    </xf>
    <xf numFmtId="164" fontId="4" fillId="0" borderId="20" xfId="1" applyNumberFormat="1" applyFont="1" applyFill="1" applyBorder="1" applyAlignment="1">
      <alignment horizontal="center" vertical="center"/>
    </xf>
    <xf numFmtId="164" fontId="4" fillId="0" borderId="20" xfId="1" applyNumberFormat="1" applyFont="1" applyBorder="1" applyAlignment="1">
      <alignment horizontal="center" vertical="center"/>
    </xf>
    <xf numFmtId="9" fontId="6" fillId="0" borderId="5" xfId="2" applyFont="1" applyBorder="1" applyAlignment="1">
      <alignment horizontal="center"/>
    </xf>
    <xf numFmtId="9" fontId="6" fillId="0" borderId="3" xfId="2" applyFont="1" applyBorder="1" applyAlignment="1">
      <alignment horizontal="center"/>
    </xf>
    <xf numFmtId="9" fontId="6" fillId="0" borderId="0" xfId="2" applyFont="1" applyBorder="1" applyAlignment="1">
      <alignment horizontal="center"/>
    </xf>
    <xf numFmtId="9" fontId="6" fillId="0" borderId="21" xfId="2" applyFont="1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0" borderId="12" xfId="1" applyNumberFormat="1" applyFont="1" applyBorder="1" applyAlignment="1">
      <alignment horizontal="center" vertical="center"/>
    </xf>
    <xf numFmtId="164" fontId="0" fillId="0" borderId="21" xfId="1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164" fontId="5" fillId="0" borderId="21" xfId="1" applyNumberFormat="1" applyFont="1" applyBorder="1" applyAlignment="1">
      <alignment horizontal="center" vertical="center"/>
    </xf>
    <xf numFmtId="164" fontId="5" fillId="0" borderId="12" xfId="1" applyNumberFormat="1" applyFont="1" applyBorder="1" applyAlignment="1">
      <alignment horizontal="center" vertical="center"/>
    </xf>
    <xf numFmtId="164" fontId="5" fillId="0" borderId="6" xfId="1" applyNumberFormat="1" applyFont="1" applyBorder="1" applyAlignment="1">
      <alignment horizontal="center" vertical="center"/>
    </xf>
    <xf numFmtId="44" fontId="5" fillId="0" borderId="6" xfId="1" applyFont="1" applyBorder="1" applyAlignment="1">
      <alignment horizontal="center" vertical="center"/>
    </xf>
    <xf numFmtId="44" fontId="5" fillId="0" borderId="12" xfId="1" applyFont="1" applyBorder="1" applyAlignment="1">
      <alignment horizontal="center" vertical="center"/>
    </xf>
    <xf numFmtId="0" fontId="0" fillId="0" borderId="21" xfId="0" applyBorder="1" applyAlignment="1">
      <alignment vertical="center"/>
    </xf>
    <xf numFmtId="0" fontId="0" fillId="0" borderId="12" xfId="0" applyBorder="1" applyAlignment="1">
      <alignment vertical="center"/>
    </xf>
    <xf numFmtId="164" fontId="0" fillId="0" borderId="0" xfId="1" applyNumberFormat="1" applyFont="1" applyBorder="1" applyAlignment="1">
      <alignment vertical="center"/>
    </xf>
    <xf numFmtId="164" fontId="0" fillId="0" borderId="3" xfId="1" applyNumberFormat="1" applyFont="1" applyBorder="1" applyAlignment="1">
      <alignment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44" fontId="5" fillId="0" borderId="6" xfId="1" applyFont="1" applyBorder="1" applyAlignment="1">
      <alignment horizontal="right" vertical="center"/>
    </xf>
    <xf numFmtId="44" fontId="5" fillId="0" borderId="12" xfId="1" applyFont="1" applyBorder="1" applyAlignment="1">
      <alignment horizontal="right" vertical="center"/>
    </xf>
    <xf numFmtId="44" fontId="8" fillId="0" borderId="6" xfId="1" applyFont="1" applyBorder="1" applyAlignment="1">
      <alignment horizontal="center" vertical="center"/>
    </xf>
    <xf numFmtId="44" fontId="8" fillId="0" borderId="12" xfId="1" applyFont="1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vertical="center"/>
    </xf>
    <xf numFmtId="164" fontId="0" fillId="0" borderId="20" xfId="1" applyNumberFormat="1" applyFont="1" applyBorder="1" applyAlignment="1">
      <alignment vertical="center"/>
    </xf>
    <xf numFmtId="164" fontId="0" fillId="0" borderId="13" xfId="1" applyNumberFormat="1" applyFont="1" applyBorder="1" applyAlignment="1">
      <alignment vertical="center"/>
    </xf>
    <xf numFmtId="0" fontId="2" fillId="2" borderId="7" xfId="0" applyFont="1" applyFill="1" applyBorder="1" applyAlignment="1">
      <alignment horizontal="center" vertical="center"/>
    </xf>
    <xf numFmtId="44" fontId="4" fillId="0" borderId="0" xfId="1" applyFont="1" applyBorder="1" applyAlignment="1">
      <alignment horizontal="center"/>
    </xf>
    <xf numFmtId="44" fontId="4" fillId="0" borderId="3" xfId="1" applyFont="1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44" fontId="4" fillId="0" borderId="0" xfId="1" applyFont="1" applyBorder="1" applyAlignment="1">
      <alignment horizontal="center" vertical="center"/>
    </xf>
    <xf numFmtId="44" fontId="4" fillId="0" borderId="3" xfId="1" applyFont="1" applyBorder="1" applyAlignment="1">
      <alignment horizontal="center" vertical="center"/>
    </xf>
    <xf numFmtId="44" fontId="5" fillId="0" borderId="21" xfId="1" applyFont="1" applyBorder="1" applyAlignment="1">
      <alignment horizontal="center" vertical="center"/>
    </xf>
    <xf numFmtId="44" fontId="4" fillId="0" borderId="5" xfId="1" applyFont="1" applyBorder="1" applyAlignment="1">
      <alignment horizontal="center" vertical="center"/>
    </xf>
    <xf numFmtId="44" fontId="0" fillId="5" borderId="2" xfId="0" applyNumberFormat="1" applyFill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/>
    </xf>
    <xf numFmtId="164" fontId="0" fillId="0" borderId="3" xfId="1" applyNumberFormat="1" applyFont="1" applyBorder="1" applyAlignment="1">
      <alignment horizontal="center"/>
    </xf>
    <xf numFmtId="44" fontId="0" fillId="0" borderId="5" xfId="1" applyFont="1" applyBorder="1" applyAlignment="1">
      <alignment vertical="center"/>
    </xf>
    <xf numFmtId="44" fontId="0" fillId="0" borderId="3" xfId="1" applyFont="1" applyBorder="1" applyAlignment="1">
      <alignment vertical="center"/>
    </xf>
    <xf numFmtId="164" fontId="0" fillId="0" borderId="5" xfId="0" applyNumberFormat="1" applyBorder="1" applyAlignment="1">
      <alignment vertical="center"/>
    </xf>
    <xf numFmtId="164" fontId="0" fillId="0" borderId="3" xfId="0" applyNumberFormat="1" applyBorder="1" applyAlignment="1">
      <alignment vertical="center"/>
    </xf>
    <xf numFmtId="44" fontId="0" fillId="5" borderId="9" xfId="0" applyNumberFormat="1" applyFill="1" applyBorder="1" applyAlignment="1">
      <alignment horizontal="center" vertical="center"/>
    </xf>
    <xf numFmtId="164" fontId="0" fillId="0" borderId="0" xfId="0" applyNumberFormat="1" applyBorder="1" applyAlignment="1">
      <alignment vertical="center"/>
    </xf>
    <xf numFmtId="44" fontId="0" fillId="0" borderId="0" xfId="1" applyFont="1" applyBorder="1" applyAlignment="1">
      <alignment vertical="center"/>
    </xf>
    <xf numFmtId="44" fontId="0" fillId="0" borderId="5" xfId="1" applyFont="1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5" xfId="1" applyNumberFormat="1" applyFont="1" applyBorder="1" applyAlignment="1">
      <alignment vertical="center"/>
    </xf>
    <xf numFmtId="164" fontId="0" fillId="0" borderId="8" xfId="1" applyNumberFormat="1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4" fontId="0" fillId="0" borderId="5" xfId="0" applyNumberFormat="1" applyBorder="1" applyAlignment="1">
      <alignment horizontal="center" vertical="center"/>
    </xf>
    <xf numFmtId="44" fontId="0" fillId="0" borderId="0" xfId="0" applyNumberFormat="1" applyBorder="1" applyAlignment="1">
      <alignment horizontal="center" vertical="center"/>
    </xf>
    <xf numFmtId="44" fontId="0" fillId="0" borderId="3" xfId="0" applyNumberForma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4" fontId="0" fillId="0" borderId="13" xfId="1" applyNumberFormat="1" applyFont="1" applyBorder="1" applyAlignment="1">
      <alignment horizontal="center"/>
    </xf>
    <xf numFmtId="0" fontId="4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44" fontId="0" fillId="0" borderId="0" xfId="1" applyFon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44" fontId="0" fillId="5" borderId="22" xfId="0" applyNumberFormat="1" applyFill="1" applyBorder="1" applyAlignment="1">
      <alignment horizontal="center" vertical="center"/>
    </xf>
    <xf numFmtId="44" fontId="0" fillId="5" borderId="23" xfId="0" applyNumberFormat="1" applyFill="1" applyBorder="1" applyAlignment="1">
      <alignment horizontal="center" vertical="center"/>
    </xf>
    <xf numFmtId="9" fontId="6" fillId="0" borderId="5" xfId="2" applyFont="1" applyBorder="1" applyAlignment="1">
      <alignment horizontal="center" vertical="center"/>
    </xf>
    <xf numFmtId="9" fontId="6" fillId="0" borderId="0" xfId="2" applyFont="1" applyBorder="1" applyAlignment="1">
      <alignment horizontal="center" vertical="center"/>
    </xf>
    <xf numFmtId="9" fontId="6" fillId="0" borderId="3" xfId="2" applyFont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44" fontId="0" fillId="0" borderId="5" xfId="1" applyFont="1" applyFill="1" applyBorder="1" applyAlignment="1">
      <alignment horizontal="center" vertical="center"/>
    </xf>
    <xf numFmtId="44" fontId="0" fillId="0" borderId="3" xfId="1" applyFont="1" applyFill="1" applyBorder="1" applyAlignment="1">
      <alignment horizontal="center" vertical="center"/>
    </xf>
    <xf numFmtId="164" fontId="4" fillId="0" borderId="19" xfId="1" applyNumberFormat="1" applyFont="1" applyFill="1" applyBorder="1"/>
    <xf numFmtId="164" fontId="0" fillId="0" borderId="1" xfId="0" applyNumberFormat="1" applyBorder="1"/>
    <xf numFmtId="164" fontId="0" fillId="0" borderId="20" xfId="0" applyNumberFormat="1" applyBorder="1" applyAlignment="1">
      <alignment horizontal="center"/>
    </xf>
    <xf numFmtId="164" fontId="0" fillId="0" borderId="13" xfId="0" applyNumberFormat="1" applyBorder="1"/>
    <xf numFmtId="164" fontId="0" fillId="0" borderId="10" xfId="0" applyNumberFormat="1" applyBorder="1"/>
    <xf numFmtId="164" fontId="0" fillId="0" borderId="16" xfId="0" applyNumberFormat="1" applyBorder="1"/>
    <xf numFmtId="164" fontId="0" fillId="0" borderId="8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19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40CE1-14CD-47F3-8A4A-AF1426833CAF}">
  <dimension ref="A1:AP59"/>
  <sheetViews>
    <sheetView tabSelected="1" zoomScale="70" zoomScaleNormal="70" workbookViewId="0">
      <pane xSplit="2" ySplit="2" topLeftCell="X7" activePane="bottomRight" state="frozen"/>
      <selection pane="topRight" activeCell="C1" sqref="C1"/>
      <selection pane="bottomLeft" activeCell="A3" sqref="A3"/>
      <selection pane="bottomRight" activeCell="AC9" sqref="AC9"/>
    </sheetView>
  </sheetViews>
  <sheetFormatPr baseColWidth="10" defaultRowHeight="14.4" x14ac:dyDescent="0.3"/>
  <cols>
    <col min="2" max="2" width="23.88671875" bestFit="1" customWidth="1"/>
    <col min="3" max="3" width="42.77734375" customWidth="1"/>
    <col min="4" max="6" width="11.5546875" hidden="1" customWidth="1"/>
    <col min="7" max="7" width="7.21875" customWidth="1"/>
    <col min="8" max="8" width="64.6640625" bestFit="1" customWidth="1"/>
    <col min="9" max="9" width="5.33203125" hidden="1" customWidth="1"/>
    <col min="10" max="10" width="6.77734375" hidden="1" customWidth="1"/>
    <col min="11" max="11" width="11.5546875" hidden="1" customWidth="1"/>
    <col min="14" max="14" width="11.5546875" customWidth="1"/>
    <col min="19" max="19" width="11.5546875" customWidth="1"/>
    <col min="25" max="25" width="13.77734375" bestFit="1" customWidth="1"/>
    <col min="28" max="28" width="11.77734375" bestFit="1" customWidth="1"/>
    <col min="31" max="31" width="16.77734375" bestFit="1" customWidth="1"/>
    <col min="39" max="39" width="16.77734375" bestFit="1" customWidth="1"/>
  </cols>
  <sheetData>
    <row r="1" spans="1:42" x14ac:dyDescent="0.3">
      <c r="A1" s="213" t="s">
        <v>35</v>
      </c>
      <c r="B1" s="213"/>
      <c r="C1" s="213" t="s">
        <v>31</v>
      </c>
      <c r="D1" s="213"/>
      <c r="E1" s="213"/>
      <c r="F1" s="213"/>
      <c r="G1" s="213"/>
      <c r="H1" s="235" t="s">
        <v>34</v>
      </c>
      <c r="I1" s="213"/>
      <c r="J1" s="213"/>
      <c r="K1" s="213"/>
      <c r="L1" s="213"/>
      <c r="M1" s="213" t="s">
        <v>64</v>
      </c>
      <c r="N1" s="213"/>
      <c r="O1" s="213"/>
      <c r="P1" s="223" t="s">
        <v>83</v>
      </c>
      <c r="Q1" s="224"/>
      <c r="R1" s="224"/>
      <c r="S1" s="224"/>
      <c r="T1" s="224"/>
      <c r="U1" s="224"/>
      <c r="V1" s="224"/>
      <c r="X1" s="201" t="s">
        <v>4</v>
      </c>
      <c r="Y1" s="202"/>
      <c r="Z1" s="202"/>
      <c r="AA1" s="202"/>
      <c r="AB1" s="201" t="s">
        <v>86</v>
      </c>
      <c r="AC1" s="202"/>
      <c r="AD1" s="202"/>
      <c r="AE1" s="202"/>
      <c r="AF1" s="202"/>
      <c r="AG1" s="164"/>
      <c r="AH1" s="164"/>
    </row>
    <row r="2" spans="1:42" x14ac:dyDescent="0.3">
      <c r="A2" s="2" t="s">
        <v>36</v>
      </c>
      <c r="B2" s="2" t="s">
        <v>37</v>
      </c>
      <c r="C2" s="2" t="s">
        <v>32</v>
      </c>
      <c r="D2" s="2" t="s">
        <v>42</v>
      </c>
      <c r="E2" s="2" t="s">
        <v>43</v>
      </c>
      <c r="F2" s="2" t="s">
        <v>40</v>
      </c>
      <c r="G2" s="2" t="s">
        <v>33</v>
      </c>
      <c r="H2" s="9" t="s">
        <v>32</v>
      </c>
      <c r="I2" s="2" t="s">
        <v>42</v>
      </c>
      <c r="J2" s="2" t="s">
        <v>43</v>
      </c>
      <c r="K2" s="2" t="s">
        <v>40</v>
      </c>
      <c r="L2" s="2" t="s">
        <v>33</v>
      </c>
      <c r="M2" s="2" t="s">
        <v>3</v>
      </c>
      <c r="N2" s="2" t="s">
        <v>40</v>
      </c>
      <c r="O2" s="2" t="s">
        <v>65</v>
      </c>
      <c r="P2" s="2" t="s">
        <v>7</v>
      </c>
      <c r="Q2" s="2" t="s">
        <v>8</v>
      </c>
      <c r="R2" s="2" t="s">
        <v>9</v>
      </c>
      <c r="S2" s="2" t="s">
        <v>103</v>
      </c>
      <c r="T2" s="2" t="s">
        <v>80</v>
      </c>
      <c r="U2" s="2" t="s">
        <v>81</v>
      </c>
      <c r="V2" s="2" t="s">
        <v>82</v>
      </c>
      <c r="W2" s="62" t="s">
        <v>0</v>
      </c>
      <c r="X2" s="2" t="s">
        <v>5</v>
      </c>
      <c r="Y2" s="2" t="s">
        <v>6</v>
      </c>
      <c r="Z2" s="2" t="s">
        <v>9</v>
      </c>
      <c r="AA2" s="2" t="s">
        <v>65</v>
      </c>
      <c r="AB2" s="2" t="s">
        <v>84</v>
      </c>
      <c r="AC2" s="2" t="s">
        <v>2</v>
      </c>
      <c r="AD2" s="2" t="s">
        <v>85</v>
      </c>
      <c r="AE2" s="2" t="s">
        <v>110</v>
      </c>
      <c r="AF2" s="118" t="s">
        <v>111</v>
      </c>
      <c r="AG2" s="164"/>
      <c r="AH2" s="118" t="s">
        <v>111</v>
      </c>
      <c r="AJ2" s="2" t="s">
        <v>84</v>
      </c>
      <c r="AK2" s="2" t="s">
        <v>2</v>
      </c>
      <c r="AL2" s="2" t="s">
        <v>85</v>
      </c>
      <c r="AM2" s="2" t="s">
        <v>0</v>
      </c>
      <c r="AN2" s="118" t="s">
        <v>111</v>
      </c>
    </row>
    <row r="3" spans="1:42" x14ac:dyDescent="0.3">
      <c r="A3" s="10" t="s">
        <v>38</v>
      </c>
      <c r="B3" s="10" t="s">
        <v>91</v>
      </c>
      <c r="C3" s="11" t="s">
        <v>109</v>
      </c>
      <c r="D3" s="90" t="s">
        <v>44</v>
      </c>
      <c r="E3" s="90" t="s">
        <v>44</v>
      </c>
      <c r="F3" s="90">
        <v>12</v>
      </c>
      <c r="G3" s="160">
        <v>20</v>
      </c>
      <c r="H3" s="94" t="s">
        <v>98</v>
      </c>
      <c r="I3" s="91"/>
      <c r="J3" s="91"/>
      <c r="K3" s="92"/>
      <c r="L3" s="15">
        <v>138</v>
      </c>
      <c r="M3" s="16"/>
      <c r="N3" s="10"/>
      <c r="O3" s="17"/>
      <c r="P3" s="57">
        <v>95</v>
      </c>
      <c r="Q3" s="48">
        <v>30</v>
      </c>
      <c r="R3" s="48"/>
      <c r="S3" s="48">
        <f>L3+P3+Q3+O3+R3+12</f>
        <v>275</v>
      </c>
      <c r="T3" s="18">
        <v>2.1</v>
      </c>
      <c r="U3" s="37">
        <v>150</v>
      </c>
      <c r="V3" s="55">
        <f t="shared" ref="V3:V15" si="0">T3*U3</f>
        <v>315</v>
      </c>
      <c r="W3" s="63">
        <f t="shared" ref="W3:W19" si="1">G3+L3+O3+R3+Q3+P3+V3</f>
        <v>598</v>
      </c>
      <c r="X3" s="57">
        <v>15</v>
      </c>
      <c r="Y3" s="48"/>
      <c r="Z3" s="48">
        <v>20</v>
      </c>
      <c r="AA3" s="70">
        <f t="shared" ref="AA3:AA12" si="2">X3+Z3+Y3</f>
        <v>35</v>
      </c>
      <c r="AB3" s="121">
        <v>1410</v>
      </c>
      <c r="AC3" s="74">
        <f t="shared" ref="AC3:AC18" si="3">AB3-(AB3/1.21)</f>
        <v>244.71074380165282</v>
      </c>
      <c r="AD3" s="81">
        <f>AB3-AC3</f>
        <v>1165.2892561983472</v>
      </c>
      <c r="AE3" s="78">
        <f>AD3-Y3-X3-W3-Z3</f>
        <v>532.28925619834718</v>
      </c>
      <c r="AF3" s="85">
        <f>AE3/AD3</f>
        <v>0.45678723404255323</v>
      </c>
      <c r="AG3" s="164"/>
      <c r="AH3" s="119">
        <f>(AD3-AM3)/AM3</f>
        <v>0.84089929889154369</v>
      </c>
      <c r="AJ3" s="121">
        <f>AL3*1.21</f>
        <v>1148.895</v>
      </c>
      <c r="AK3" s="74">
        <f>AJ3-AL3</f>
        <v>199.39499999999998</v>
      </c>
      <c r="AL3" s="81">
        <f>AM3*1.5</f>
        <v>949.5</v>
      </c>
      <c r="AM3" s="78">
        <f>W3+X3+Y3+Z3</f>
        <v>633</v>
      </c>
      <c r="AN3" s="119">
        <f>(AL3-$AM$3)/$AM$3</f>
        <v>0.5</v>
      </c>
      <c r="AO3" s="301">
        <f>AL3-AD3</f>
        <v>-215.78925619834718</v>
      </c>
      <c r="AP3" s="87"/>
    </row>
    <row r="4" spans="1:42" x14ac:dyDescent="0.3">
      <c r="A4" s="10" t="s">
        <v>38</v>
      </c>
      <c r="B4" s="97" t="s">
        <v>1</v>
      </c>
      <c r="C4" s="11" t="s">
        <v>41</v>
      </c>
      <c r="D4" s="21">
        <v>130</v>
      </c>
      <c r="E4" s="13">
        <v>0.41</v>
      </c>
      <c r="F4" s="21">
        <f>D4*E4</f>
        <v>53.3</v>
      </c>
      <c r="G4" s="22">
        <v>60</v>
      </c>
      <c r="H4" s="13" t="s">
        <v>39</v>
      </c>
      <c r="I4" s="14" t="s">
        <v>39</v>
      </c>
      <c r="J4" s="14" t="s">
        <v>39</v>
      </c>
      <c r="K4" s="14" t="s">
        <v>39</v>
      </c>
      <c r="L4" s="15"/>
      <c r="M4" s="10"/>
      <c r="N4" s="10"/>
      <c r="O4" s="17"/>
      <c r="P4" s="58">
        <v>75</v>
      </c>
      <c r="Q4" s="50">
        <v>5</v>
      </c>
      <c r="R4" s="50"/>
      <c r="S4" s="48">
        <f t="shared" ref="S4:S18" si="4">L4+P4+Q4+O4+R4</f>
        <v>80</v>
      </c>
      <c r="T4" s="10">
        <v>5.2</v>
      </c>
      <c r="U4" s="37">
        <v>150</v>
      </c>
      <c r="V4" s="55">
        <f t="shared" si="0"/>
        <v>780</v>
      </c>
      <c r="W4" s="63">
        <f t="shared" si="1"/>
        <v>920</v>
      </c>
      <c r="X4" s="57">
        <v>15</v>
      </c>
      <c r="Y4" s="48"/>
      <c r="Z4" s="48">
        <v>20</v>
      </c>
      <c r="AA4" s="70">
        <f t="shared" si="2"/>
        <v>35</v>
      </c>
      <c r="AB4" s="121">
        <v>1500</v>
      </c>
      <c r="AC4" s="74">
        <f t="shared" si="3"/>
        <v>260.33057851239664</v>
      </c>
      <c r="AD4" s="81">
        <f t="shared" ref="AD4:AD18" si="5">AB4-AC4</f>
        <v>1239.6694214876034</v>
      </c>
      <c r="AE4" s="144">
        <f>AD4-Y4-X4-W4-Z4</f>
        <v>284.66942148760336</v>
      </c>
      <c r="AF4" s="85">
        <f t="shared" ref="AF4:AF18" si="6">AE4/AD4</f>
        <v>0.22963333333333336</v>
      </c>
      <c r="AG4" s="164"/>
      <c r="AH4" s="119">
        <f t="shared" ref="AH4:AH55" si="7">(AD4-AM4)/AM4</f>
        <v>0.2980831638613648</v>
      </c>
      <c r="AJ4" s="121">
        <f t="shared" ref="AJ4:AJ18" si="8">AL4*1.21</f>
        <v>1733.325</v>
      </c>
      <c r="AK4" s="74">
        <f t="shared" ref="AK4:AK18" si="9">AJ4-AL4</f>
        <v>300.82500000000005</v>
      </c>
      <c r="AL4" s="81">
        <f t="shared" ref="AL4:AL18" si="10">AM4*1.5</f>
        <v>1432.5</v>
      </c>
      <c r="AM4" s="78">
        <f>W4+X4+Y4+Z4</f>
        <v>955</v>
      </c>
      <c r="AN4" s="119">
        <f t="shared" ref="AN4:AN18" si="11">(AL4-AM4)/AM4</f>
        <v>0.5</v>
      </c>
      <c r="AO4" s="302">
        <f>AL4-AD4</f>
        <v>192.83057851239664</v>
      </c>
      <c r="AP4" s="87"/>
    </row>
    <row r="5" spans="1:42" x14ac:dyDescent="0.3">
      <c r="A5" s="10" t="s">
        <v>38</v>
      </c>
      <c r="B5" s="20" t="s">
        <v>90</v>
      </c>
      <c r="C5" s="11" t="s">
        <v>49</v>
      </c>
      <c r="D5" s="21">
        <v>15</v>
      </c>
      <c r="E5" s="13">
        <v>1.21</v>
      </c>
      <c r="F5" s="21">
        <f>D5*E5</f>
        <v>18.149999999999999</v>
      </c>
      <c r="G5" s="22">
        <v>20</v>
      </c>
      <c r="H5" s="13" t="s">
        <v>99</v>
      </c>
      <c r="I5" s="91"/>
      <c r="J5" s="91"/>
      <c r="K5" s="14">
        <v>5.5</v>
      </c>
      <c r="L5" s="15">
        <f>K5</f>
        <v>5.5</v>
      </c>
      <c r="M5" s="10"/>
      <c r="N5" s="10"/>
      <c r="O5" s="17"/>
      <c r="P5" s="58">
        <v>80</v>
      </c>
      <c r="Q5" s="50">
        <v>15</v>
      </c>
      <c r="R5" s="50"/>
      <c r="S5" s="48">
        <f t="shared" si="4"/>
        <v>100.5</v>
      </c>
      <c r="T5" s="10">
        <v>1</v>
      </c>
      <c r="U5" s="37">
        <v>150</v>
      </c>
      <c r="V5" s="55">
        <f t="shared" si="0"/>
        <v>150</v>
      </c>
      <c r="W5" s="63">
        <f t="shared" si="1"/>
        <v>270.5</v>
      </c>
      <c r="X5" s="57">
        <v>15</v>
      </c>
      <c r="Y5" s="48"/>
      <c r="Z5" s="48">
        <v>20</v>
      </c>
      <c r="AA5" s="70">
        <f t="shared" si="2"/>
        <v>35</v>
      </c>
      <c r="AB5" s="77">
        <v>850</v>
      </c>
      <c r="AC5" s="74">
        <f t="shared" si="3"/>
        <v>147.52066115702473</v>
      </c>
      <c r="AD5" s="81">
        <f t="shared" si="5"/>
        <v>702.47933884297527</v>
      </c>
      <c r="AE5" s="78">
        <f>AD5-Y5-X5-W5-Z5</f>
        <v>396.97933884297527</v>
      </c>
      <c r="AF5" s="85">
        <f t="shared" si="6"/>
        <v>0.56511176470588242</v>
      </c>
      <c r="AG5" s="164"/>
      <c r="AH5" s="119">
        <f t="shared" si="7"/>
        <v>1.2994413710081023</v>
      </c>
      <c r="AJ5" s="121">
        <f t="shared" si="8"/>
        <v>554.48249999999996</v>
      </c>
      <c r="AK5" s="74">
        <f t="shared" si="9"/>
        <v>96.232499999999959</v>
      </c>
      <c r="AL5" s="81">
        <f t="shared" si="10"/>
        <v>458.25</v>
      </c>
      <c r="AM5" s="78">
        <f>W5+X5+Y5+Z5</f>
        <v>305.5</v>
      </c>
      <c r="AN5" s="119">
        <f t="shared" si="11"/>
        <v>0.5</v>
      </c>
      <c r="AO5" s="301">
        <f>AL5-AD5</f>
        <v>-244.22933884297527</v>
      </c>
      <c r="AP5" s="87"/>
    </row>
    <row r="6" spans="1:42" x14ac:dyDescent="0.3">
      <c r="A6" s="10" t="s">
        <v>38</v>
      </c>
      <c r="B6" s="105" t="s">
        <v>30</v>
      </c>
      <c r="C6" s="11" t="s">
        <v>48</v>
      </c>
      <c r="D6" s="21">
        <v>90</v>
      </c>
      <c r="E6" s="13">
        <v>0.46</v>
      </c>
      <c r="F6" s="21">
        <v>36</v>
      </c>
      <c r="G6" s="22">
        <v>60</v>
      </c>
      <c r="H6" s="13" t="s">
        <v>60</v>
      </c>
      <c r="I6" s="91"/>
      <c r="J6" s="91"/>
      <c r="K6" s="14">
        <v>11</v>
      </c>
      <c r="L6" s="23">
        <f>4*K6</f>
        <v>44</v>
      </c>
      <c r="M6" s="10"/>
      <c r="N6" s="10"/>
      <c r="O6" s="17"/>
      <c r="P6" s="58">
        <v>70</v>
      </c>
      <c r="Q6" s="50">
        <v>20</v>
      </c>
      <c r="R6" s="50"/>
      <c r="S6" s="48">
        <f t="shared" si="4"/>
        <v>134</v>
      </c>
      <c r="T6" s="10">
        <v>1.1000000000000001</v>
      </c>
      <c r="U6" s="37">
        <v>150</v>
      </c>
      <c r="V6" s="55">
        <f t="shared" si="0"/>
        <v>165</v>
      </c>
      <c r="W6" s="63">
        <f t="shared" si="1"/>
        <v>359</v>
      </c>
      <c r="X6" s="57">
        <v>15</v>
      </c>
      <c r="Y6" s="48"/>
      <c r="Z6" s="48">
        <v>20</v>
      </c>
      <c r="AA6" s="70">
        <f t="shared" si="2"/>
        <v>35</v>
      </c>
      <c r="AB6" s="77">
        <v>980</v>
      </c>
      <c r="AC6" s="74">
        <f t="shared" si="3"/>
        <v>170.08264462809916</v>
      </c>
      <c r="AD6" s="81">
        <f t="shared" si="5"/>
        <v>809.91735537190084</v>
      </c>
      <c r="AE6" s="78">
        <f>AD6-Y6-X6-W6-Z6</f>
        <v>415.91735537190084</v>
      </c>
      <c r="AF6" s="85">
        <f t="shared" si="6"/>
        <v>0.51353061224489793</v>
      </c>
      <c r="AG6" s="164"/>
      <c r="AH6" s="119">
        <f t="shared" si="7"/>
        <v>1.0556278055124386</v>
      </c>
      <c r="AJ6" s="121">
        <f t="shared" si="8"/>
        <v>715.11</v>
      </c>
      <c r="AK6" s="74">
        <f t="shared" si="9"/>
        <v>124.11000000000001</v>
      </c>
      <c r="AL6" s="81">
        <f t="shared" si="10"/>
        <v>591</v>
      </c>
      <c r="AM6" s="78">
        <f>W6+X6+Y6+Z6</f>
        <v>394</v>
      </c>
      <c r="AN6" s="119">
        <f t="shared" si="11"/>
        <v>0.5</v>
      </c>
      <c r="AO6" s="302">
        <f>AL6-AD6</f>
        <v>-218.91735537190084</v>
      </c>
      <c r="AP6" s="87"/>
    </row>
    <row r="7" spans="1:42" x14ac:dyDescent="0.3">
      <c r="A7" s="16" t="s">
        <v>38</v>
      </c>
      <c r="B7" s="17" t="s">
        <v>21</v>
      </c>
      <c r="C7" s="16" t="s">
        <v>39</v>
      </c>
      <c r="D7" s="10" t="s">
        <v>39</v>
      </c>
      <c r="E7" s="10" t="s">
        <v>39</v>
      </c>
      <c r="F7" s="10" t="s">
        <v>39</v>
      </c>
      <c r="G7" s="17"/>
      <c r="H7" s="143" t="s">
        <v>100</v>
      </c>
      <c r="I7" s="10"/>
      <c r="J7" s="10"/>
      <c r="K7" s="14">
        <v>11</v>
      </c>
      <c r="L7" s="23">
        <f>K7*7</f>
        <v>77</v>
      </c>
      <c r="M7" s="16"/>
      <c r="N7" s="10"/>
      <c r="O7" s="17"/>
      <c r="P7" s="58">
        <v>165</v>
      </c>
      <c r="Q7" s="50">
        <v>17</v>
      </c>
      <c r="R7" s="50">
        <v>88</v>
      </c>
      <c r="S7" s="50">
        <f t="shared" ref="S7" si="12">L7+P7+Q7+O7+R7</f>
        <v>347</v>
      </c>
      <c r="T7" s="10">
        <v>4</v>
      </c>
      <c r="U7" s="37">
        <v>150</v>
      </c>
      <c r="V7" s="37">
        <f t="shared" ref="V7" si="13">T7*U7</f>
        <v>600</v>
      </c>
      <c r="W7" s="63">
        <f t="shared" ref="W7" si="14">G7+L7+O7+R7+Q7+P7+V7</f>
        <v>947</v>
      </c>
      <c r="X7" s="57">
        <v>15</v>
      </c>
      <c r="Y7" s="48"/>
      <c r="Z7" s="48">
        <v>20</v>
      </c>
      <c r="AA7" s="70">
        <f t="shared" si="2"/>
        <v>35</v>
      </c>
      <c r="AB7" s="73">
        <v>1750</v>
      </c>
      <c r="AC7" s="74">
        <f t="shared" ref="AC7" si="15">AB7-(AB7/1.21)</f>
        <v>303.71900826446267</v>
      </c>
      <c r="AD7" s="81">
        <f t="shared" ref="AD7" si="16">AB7-AC7</f>
        <v>1446.2809917355373</v>
      </c>
      <c r="AE7" s="78">
        <f>AD7-Y7-X7-W7-Z7</f>
        <v>464.28099173553733</v>
      </c>
      <c r="AF7" s="85">
        <f t="shared" ref="AF7" si="17">AE7/AD7</f>
        <v>0.32101714285714295</v>
      </c>
      <c r="AG7" s="164"/>
      <c r="AH7" s="119">
        <f t="shared" si="7"/>
        <v>0.47279123394657568</v>
      </c>
      <c r="AJ7" s="121">
        <f t="shared" si="8"/>
        <v>1782.33</v>
      </c>
      <c r="AK7" s="74">
        <f t="shared" si="9"/>
        <v>309.32999999999993</v>
      </c>
      <c r="AL7" s="81">
        <f t="shared" si="10"/>
        <v>1473</v>
      </c>
      <c r="AM7" s="78">
        <f>W7+X7+Y7+Z7</f>
        <v>982</v>
      </c>
      <c r="AN7" s="119">
        <f t="shared" si="11"/>
        <v>0.5</v>
      </c>
      <c r="AO7" s="301">
        <f>AL7-AD7</f>
        <v>26.719008264462673</v>
      </c>
      <c r="AP7" s="87"/>
    </row>
    <row r="8" spans="1:42" x14ac:dyDescent="0.3">
      <c r="A8" s="16" t="s">
        <v>125</v>
      </c>
      <c r="B8" s="17" t="s">
        <v>135</v>
      </c>
      <c r="C8" s="16"/>
      <c r="D8" s="10"/>
      <c r="E8" s="10"/>
      <c r="F8" s="10"/>
      <c r="G8" s="17"/>
      <c r="H8" s="143" t="s">
        <v>127</v>
      </c>
      <c r="I8" s="10"/>
      <c r="J8" s="10"/>
      <c r="K8" s="10"/>
      <c r="L8" s="17"/>
      <c r="M8" s="16"/>
      <c r="N8" s="10"/>
      <c r="O8" s="17"/>
      <c r="P8" s="58">
        <v>890</v>
      </c>
      <c r="Q8" s="10"/>
      <c r="R8" s="10"/>
      <c r="S8" s="50">
        <f t="shared" si="4"/>
        <v>890</v>
      </c>
      <c r="T8" s="10"/>
      <c r="U8" s="10"/>
      <c r="V8" s="17"/>
      <c r="W8" s="63">
        <f t="shared" si="1"/>
        <v>890</v>
      </c>
      <c r="X8" s="57">
        <v>15</v>
      </c>
      <c r="Y8" s="48"/>
      <c r="Z8" s="48">
        <v>20</v>
      </c>
      <c r="AA8" s="70">
        <f t="shared" si="2"/>
        <v>35</v>
      </c>
      <c r="AB8" s="73">
        <v>1700</v>
      </c>
      <c r="AC8" s="74">
        <f t="shared" si="3"/>
        <v>295.04132231404947</v>
      </c>
      <c r="AD8" s="81">
        <f t="shared" si="5"/>
        <v>1404.9586776859505</v>
      </c>
      <c r="AE8" s="78">
        <f>AD8-Y8-X8-W8-Z8</f>
        <v>479.95867768595053</v>
      </c>
      <c r="AF8" s="85">
        <f t="shared" si="6"/>
        <v>0.34161764705882358</v>
      </c>
      <c r="AG8" s="164"/>
      <c r="AH8" s="119">
        <f t="shared" si="7"/>
        <v>0.51887424614697353</v>
      </c>
      <c r="AJ8" s="121">
        <f t="shared" si="8"/>
        <v>1678.875</v>
      </c>
      <c r="AK8" s="74">
        <f t="shared" si="9"/>
        <v>291.375</v>
      </c>
      <c r="AL8" s="81">
        <f t="shared" si="10"/>
        <v>1387.5</v>
      </c>
      <c r="AM8" s="78">
        <f>W8+X8+Y8+Z8</f>
        <v>925</v>
      </c>
      <c r="AN8" s="119">
        <f t="shared" si="11"/>
        <v>0.5</v>
      </c>
      <c r="AO8" s="302">
        <f>AL8-AD8</f>
        <v>-17.458677685950533</v>
      </c>
      <c r="AP8" s="87"/>
    </row>
    <row r="9" spans="1:42" x14ac:dyDescent="0.3">
      <c r="A9" s="16" t="s">
        <v>126</v>
      </c>
      <c r="B9" s="17" t="s">
        <v>136</v>
      </c>
      <c r="C9" s="16"/>
      <c r="D9" s="10"/>
      <c r="E9" s="10"/>
      <c r="F9" s="10"/>
      <c r="G9" s="17"/>
      <c r="H9" s="94" t="s">
        <v>128</v>
      </c>
      <c r="I9" s="10"/>
      <c r="J9" s="10"/>
      <c r="K9" s="10"/>
      <c r="L9" s="17"/>
      <c r="M9" s="16"/>
      <c r="N9" s="10"/>
      <c r="O9" s="17"/>
      <c r="P9" s="58">
        <v>495</v>
      </c>
      <c r="Q9" s="10"/>
      <c r="R9" s="10"/>
      <c r="S9" s="50">
        <f t="shared" si="4"/>
        <v>495</v>
      </c>
      <c r="T9" s="10"/>
      <c r="U9" s="10"/>
      <c r="V9" s="17"/>
      <c r="W9" s="63">
        <f t="shared" si="1"/>
        <v>495</v>
      </c>
      <c r="X9" s="57">
        <v>15</v>
      </c>
      <c r="Y9" s="48"/>
      <c r="Z9" s="48">
        <v>20</v>
      </c>
      <c r="AA9" s="70">
        <f t="shared" si="2"/>
        <v>35</v>
      </c>
      <c r="AB9" s="73">
        <v>1220</v>
      </c>
      <c r="AC9" s="74">
        <f t="shared" si="3"/>
        <v>211.7355371900826</v>
      </c>
      <c r="AD9" s="81">
        <f t="shared" si="5"/>
        <v>1008.2644628099174</v>
      </c>
      <c r="AE9" s="78">
        <f>AD9-Y9-X9-W9-Z9</f>
        <v>478.2644628099174</v>
      </c>
      <c r="AF9" s="85">
        <f t="shared" si="6"/>
        <v>0.47434426229508198</v>
      </c>
      <c r="AG9" s="164"/>
      <c r="AH9" s="119">
        <f t="shared" si="7"/>
        <v>0.90238577888663662</v>
      </c>
      <c r="AJ9" s="121">
        <f t="shared" si="8"/>
        <v>961.94999999999993</v>
      </c>
      <c r="AK9" s="74">
        <f t="shared" si="9"/>
        <v>166.94999999999993</v>
      </c>
      <c r="AL9" s="81">
        <f t="shared" si="10"/>
        <v>795</v>
      </c>
      <c r="AM9" s="78">
        <f>W9+X9+Y9+Z9</f>
        <v>530</v>
      </c>
      <c r="AN9" s="119">
        <f t="shared" si="11"/>
        <v>0.5</v>
      </c>
      <c r="AO9" s="302">
        <f>AL9-AD9</f>
        <v>-213.2644628099174</v>
      </c>
      <c r="AP9" s="87"/>
    </row>
    <row r="10" spans="1:42" x14ac:dyDescent="0.3">
      <c r="A10" s="16" t="s">
        <v>129</v>
      </c>
      <c r="B10" s="17" t="s">
        <v>130</v>
      </c>
      <c r="C10" s="16"/>
      <c r="D10" s="10"/>
      <c r="E10" s="10"/>
      <c r="F10" s="10"/>
      <c r="G10" s="17"/>
      <c r="H10" s="16"/>
      <c r="I10" s="10"/>
      <c r="J10" s="10"/>
      <c r="K10" s="10"/>
      <c r="L10" s="17"/>
      <c r="M10" s="16"/>
      <c r="N10" s="10"/>
      <c r="O10" s="17"/>
      <c r="P10" s="58">
        <v>160</v>
      </c>
      <c r="Q10" s="10"/>
      <c r="R10" s="10"/>
      <c r="S10" s="48">
        <f t="shared" si="4"/>
        <v>160</v>
      </c>
      <c r="T10" s="10">
        <v>0.4</v>
      </c>
      <c r="U10" s="31">
        <v>150</v>
      </c>
      <c r="V10" s="138">
        <f t="shared" ref="V10:V14" si="18">T10*U10</f>
        <v>60</v>
      </c>
      <c r="W10" s="63">
        <f t="shared" si="1"/>
        <v>220</v>
      </c>
      <c r="X10" s="57">
        <v>15</v>
      </c>
      <c r="Y10" s="48"/>
      <c r="Z10" s="48">
        <v>20</v>
      </c>
      <c r="AA10" s="70">
        <f t="shared" si="2"/>
        <v>35</v>
      </c>
      <c r="AB10" s="73">
        <v>660</v>
      </c>
      <c r="AC10" s="74">
        <f t="shared" si="3"/>
        <v>114.5454545454545</v>
      </c>
      <c r="AD10" s="81">
        <f t="shared" si="5"/>
        <v>545.4545454545455</v>
      </c>
      <c r="AE10" s="78">
        <f>AD10-Y10-X10-W10-Z10</f>
        <v>290.4545454545455</v>
      </c>
      <c r="AF10" s="85">
        <f t="shared" si="6"/>
        <v>0.53250000000000008</v>
      </c>
      <c r="AG10" s="164"/>
      <c r="AH10" s="119">
        <f t="shared" si="7"/>
        <v>1.1390374331550803</v>
      </c>
      <c r="AJ10" s="121">
        <f t="shared" si="8"/>
        <v>462.82499999999999</v>
      </c>
      <c r="AK10" s="74">
        <f t="shared" si="9"/>
        <v>80.324999999999989</v>
      </c>
      <c r="AL10" s="81">
        <f t="shared" si="10"/>
        <v>382.5</v>
      </c>
      <c r="AM10" s="78">
        <f>W10+X10+Y10+Z10</f>
        <v>255</v>
      </c>
      <c r="AN10" s="119">
        <f t="shared" si="11"/>
        <v>0.5</v>
      </c>
      <c r="AO10" s="301">
        <f>AL10-AD10</f>
        <v>-162.9545454545455</v>
      </c>
      <c r="AP10" s="87"/>
    </row>
    <row r="11" spans="1:42" x14ac:dyDescent="0.3">
      <c r="A11" s="16" t="s">
        <v>129</v>
      </c>
      <c r="B11" s="17" t="s">
        <v>131</v>
      </c>
      <c r="C11" s="16"/>
      <c r="D11" s="10"/>
      <c r="E11" s="10"/>
      <c r="F11" s="10"/>
      <c r="G11" s="17"/>
      <c r="H11" s="16"/>
      <c r="I11" s="10"/>
      <c r="J11" s="10"/>
      <c r="K11" s="10"/>
      <c r="L11" s="17"/>
      <c r="M11" s="16"/>
      <c r="N11" s="10"/>
      <c r="O11" s="17"/>
      <c r="P11" s="58">
        <v>90</v>
      </c>
      <c r="Q11" s="10"/>
      <c r="R11" s="10"/>
      <c r="S11" s="48">
        <f t="shared" si="4"/>
        <v>90</v>
      </c>
      <c r="T11" s="10">
        <v>1.4</v>
      </c>
      <c r="U11" s="31">
        <v>150</v>
      </c>
      <c r="V11" s="138">
        <f t="shared" si="18"/>
        <v>210</v>
      </c>
      <c r="W11" s="63">
        <f t="shared" si="1"/>
        <v>300</v>
      </c>
      <c r="X11" s="57">
        <v>15</v>
      </c>
      <c r="Y11" s="48"/>
      <c r="Z11" s="48">
        <v>20</v>
      </c>
      <c r="AA11" s="70">
        <f t="shared" si="2"/>
        <v>35</v>
      </c>
      <c r="AB11" s="73">
        <v>820</v>
      </c>
      <c r="AC11" s="74">
        <f t="shared" si="3"/>
        <v>142.31404958677683</v>
      </c>
      <c r="AD11" s="81">
        <f t="shared" si="5"/>
        <v>677.68595041322317</v>
      </c>
      <c r="AE11" s="78">
        <f>AD11-Y11-X11-W11-Z11</f>
        <v>342.68595041322317</v>
      </c>
      <c r="AF11" s="85">
        <f t="shared" si="6"/>
        <v>0.50567073170731713</v>
      </c>
      <c r="AG11" s="164"/>
      <c r="AH11" s="119">
        <f t="shared" si="7"/>
        <v>1.0229431355618601</v>
      </c>
      <c r="AJ11" s="121">
        <f t="shared" si="8"/>
        <v>608.02499999999998</v>
      </c>
      <c r="AK11" s="74">
        <f t="shared" si="9"/>
        <v>105.52499999999998</v>
      </c>
      <c r="AL11" s="81">
        <f t="shared" si="10"/>
        <v>502.5</v>
      </c>
      <c r="AM11" s="78">
        <f>W11+X11+Y11+Z11</f>
        <v>335</v>
      </c>
      <c r="AN11" s="119">
        <f t="shared" si="11"/>
        <v>0.5</v>
      </c>
      <c r="AO11" s="302">
        <f>AL11-AD11</f>
        <v>-175.18595041322317</v>
      </c>
      <c r="AP11" s="87"/>
    </row>
    <row r="12" spans="1:42" x14ac:dyDescent="0.3">
      <c r="A12" s="16" t="s">
        <v>129</v>
      </c>
      <c r="B12" s="17" t="s">
        <v>132</v>
      </c>
      <c r="C12" s="16"/>
      <c r="D12" s="10"/>
      <c r="E12" s="10"/>
      <c r="F12" s="10"/>
      <c r="G12" s="17"/>
      <c r="H12" s="16"/>
      <c r="I12" s="10"/>
      <c r="J12" s="10"/>
      <c r="K12" s="10"/>
      <c r="L12" s="17"/>
      <c r="M12" s="16"/>
      <c r="N12" s="10"/>
      <c r="O12" s="17"/>
      <c r="P12" s="58">
        <v>175</v>
      </c>
      <c r="Q12" s="10"/>
      <c r="R12" s="10"/>
      <c r="S12" s="48">
        <f t="shared" si="4"/>
        <v>175</v>
      </c>
      <c r="T12" s="10">
        <v>2.15</v>
      </c>
      <c r="U12" s="31">
        <v>150</v>
      </c>
      <c r="V12" s="138">
        <f t="shared" si="18"/>
        <v>322.5</v>
      </c>
      <c r="W12" s="63">
        <f t="shared" si="1"/>
        <v>497.5</v>
      </c>
      <c r="X12" s="57">
        <v>15</v>
      </c>
      <c r="Y12" s="48"/>
      <c r="Z12" s="48">
        <v>20</v>
      </c>
      <c r="AA12" s="70">
        <f t="shared" si="2"/>
        <v>35</v>
      </c>
      <c r="AB12" s="73">
        <v>1055</v>
      </c>
      <c r="AC12" s="74">
        <f t="shared" si="3"/>
        <v>183.09917355371897</v>
      </c>
      <c r="AD12" s="81">
        <f t="shared" si="5"/>
        <v>871.90082644628103</v>
      </c>
      <c r="AE12" s="78">
        <f>AD12-Y12-X12-W12-Z12</f>
        <v>339.40082644628103</v>
      </c>
      <c r="AF12" s="85">
        <f t="shared" si="6"/>
        <v>0.38926540284360195</v>
      </c>
      <c r="AG12" s="164"/>
      <c r="AH12" s="119">
        <f t="shared" si="7"/>
        <v>0.63737244403057469</v>
      </c>
      <c r="AJ12" s="121">
        <f t="shared" si="8"/>
        <v>966.48749999999995</v>
      </c>
      <c r="AK12" s="74">
        <f t="shared" si="9"/>
        <v>167.73749999999995</v>
      </c>
      <c r="AL12" s="81">
        <f t="shared" si="10"/>
        <v>798.75</v>
      </c>
      <c r="AM12" s="78">
        <f>W12+X12+Y12+Z12</f>
        <v>532.5</v>
      </c>
      <c r="AN12" s="119">
        <f t="shared" si="11"/>
        <v>0.5</v>
      </c>
      <c r="AO12" s="302">
        <f>AL12-AD12</f>
        <v>-73.15082644628103</v>
      </c>
      <c r="AP12" s="87"/>
    </row>
    <row r="13" spans="1:42" x14ac:dyDescent="0.3">
      <c r="A13" s="159" t="s">
        <v>129</v>
      </c>
      <c r="B13" s="17" t="s">
        <v>143</v>
      </c>
      <c r="C13" s="16"/>
      <c r="D13" s="10"/>
      <c r="E13" s="10"/>
      <c r="F13" s="10"/>
      <c r="G13" s="17"/>
      <c r="H13" s="16"/>
      <c r="I13" s="10"/>
      <c r="J13" s="10"/>
      <c r="K13" s="10"/>
      <c r="L13" s="17"/>
      <c r="M13" s="16"/>
      <c r="N13" s="10"/>
      <c r="O13" s="17"/>
      <c r="P13" s="58">
        <v>190</v>
      </c>
      <c r="Q13" s="10"/>
      <c r="R13" s="134"/>
      <c r="S13" s="157">
        <f t="shared" si="4"/>
        <v>190</v>
      </c>
      <c r="T13" s="134">
        <v>0.4</v>
      </c>
      <c r="U13" s="158">
        <v>150</v>
      </c>
      <c r="V13" s="138">
        <f t="shared" ref="V13" si="19">T13*U13</f>
        <v>60</v>
      </c>
      <c r="W13" s="63">
        <f t="shared" ref="W13" si="20">G13+L13+O13+R13+Q13+P13+V13</f>
        <v>250</v>
      </c>
      <c r="X13" s="57">
        <v>15</v>
      </c>
      <c r="Y13" s="48"/>
      <c r="Z13" s="48">
        <v>20</v>
      </c>
      <c r="AA13" s="70">
        <f>X13+Z13+Y13</f>
        <v>35</v>
      </c>
      <c r="AB13" s="73">
        <v>750</v>
      </c>
      <c r="AC13" s="74">
        <f t="shared" ref="AC13" si="21">AB13-(AB13/1.21)</f>
        <v>130.16528925619832</v>
      </c>
      <c r="AD13" s="81">
        <f t="shared" ref="AD13" si="22">AB13-AC13</f>
        <v>619.83471074380168</v>
      </c>
      <c r="AE13" s="78">
        <f>AD13-Y13-X13-W13-Z13</f>
        <v>334.83471074380168</v>
      </c>
      <c r="AF13" s="85">
        <f t="shared" ref="AF13" si="23">AE13/AD13</f>
        <v>0.54020000000000001</v>
      </c>
      <c r="AG13" s="164"/>
      <c r="AH13" s="119">
        <f t="shared" si="7"/>
        <v>1.1748586341887779</v>
      </c>
      <c r="AJ13" s="121">
        <f t="shared" si="8"/>
        <v>517.27499999999998</v>
      </c>
      <c r="AK13" s="74">
        <f t="shared" si="9"/>
        <v>89.774999999999977</v>
      </c>
      <c r="AL13" s="81">
        <f t="shared" si="10"/>
        <v>427.5</v>
      </c>
      <c r="AM13" s="78">
        <f>W13+X13+Y13+Z13</f>
        <v>285</v>
      </c>
      <c r="AN13" s="119">
        <f t="shared" si="11"/>
        <v>0.5</v>
      </c>
      <c r="AO13" s="302">
        <f>AL13-AD13</f>
        <v>-192.33471074380168</v>
      </c>
      <c r="AP13" s="87"/>
    </row>
    <row r="14" spans="1:42" ht="15" thickBot="1" x14ac:dyDescent="0.35">
      <c r="A14" s="1" t="s">
        <v>129</v>
      </c>
      <c r="B14" s="17" t="s">
        <v>133</v>
      </c>
      <c r="C14" s="16"/>
      <c r="D14" s="10"/>
      <c r="E14" s="10"/>
      <c r="F14" s="10"/>
      <c r="G14" s="17"/>
      <c r="H14" s="16"/>
      <c r="I14" s="10"/>
      <c r="J14" s="10"/>
      <c r="K14" s="10"/>
      <c r="L14" s="17"/>
      <c r="M14" s="16"/>
      <c r="N14" s="10"/>
      <c r="O14" s="17"/>
      <c r="P14" s="58">
        <v>155</v>
      </c>
      <c r="Q14" s="10"/>
      <c r="R14" s="152"/>
      <c r="S14" s="67">
        <f t="shared" si="4"/>
        <v>155</v>
      </c>
      <c r="T14" s="152">
        <v>1.1499999999999999</v>
      </c>
      <c r="U14" s="54">
        <v>150</v>
      </c>
      <c r="V14" s="156">
        <f t="shared" si="18"/>
        <v>172.5</v>
      </c>
      <c r="W14" s="64">
        <f t="shared" si="1"/>
        <v>327.5</v>
      </c>
      <c r="X14" s="66">
        <v>15</v>
      </c>
      <c r="Y14" s="67"/>
      <c r="Z14" s="67">
        <v>20</v>
      </c>
      <c r="AA14" s="71">
        <f>X14+Z14+Y14</f>
        <v>35</v>
      </c>
      <c r="AB14" s="75">
        <v>850</v>
      </c>
      <c r="AC14" s="76">
        <f t="shared" si="3"/>
        <v>147.52066115702473</v>
      </c>
      <c r="AD14" s="82">
        <f t="shared" si="5"/>
        <v>702.47933884297527</v>
      </c>
      <c r="AE14" s="80">
        <f>AD14-Y14-X14-W14-Z14</f>
        <v>339.97933884297527</v>
      </c>
      <c r="AF14" s="86">
        <f t="shared" si="6"/>
        <v>0.48397058823529415</v>
      </c>
      <c r="AG14" s="164"/>
      <c r="AH14" s="120">
        <f t="shared" si="7"/>
        <v>0.93787403818751802</v>
      </c>
      <c r="AJ14" s="298">
        <f t="shared" si="8"/>
        <v>657.9375</v>
      </c>
      <c r="AK14" s="76">
        <f t="shared" si="9"/>
        <v>114.1875</v>
      </c>
      <c r="AL14" s="82">
        <f t="shared" si="10"/>
        <v>543.75</v>
      </c>
      <c r="AM14" s="80">
        <f>W14+X14+Y14+Z14</f>
        <v>362.5</v>
      </c>
      <c r="AN14" s="120">
        <f t="shared" si="11"/>
        <v>0.5</v>
      </c>
      <c r="AO14" s="299">
        <f>AL14-AD14</f>
        <v>-158.72933884297527</v>
      </c>
      <c r="AP14" s="87"/>
    </row>
    <row r="15" spans="1:42" x14ac:dyDescent="0.3">
      <c r="A15" s="18" t="s">
        <v>45</v>
      </c>
      <c r="B15" s="24" t="s">
        <v>10</v>
      </c>
      <c r="C15" s="25" t="s">
        <v>46</v>
      </c>
      <c r="D15" s="26">
        <v>50</v>
      </c>
      <c r="E15" s="27">
        <v>0.18</v>
      </c>
      <c r="F15" s="26">
        <f>D15*E15</f>
        <v>9</v>
      </c>
      <c r="G15" s="28">
        <v>25</v>
      </c>
      <c r="H15" s="25" t="s">
        <v>106</v>
      </c>
      <c r="I15" s="25"/>
      <c r="J15" s="25"/>
      <c r="K15" s="29"/>
      <c r="L15" s="30">
        <v>560</v>
      </c>
      <c r="M15" s="27" t="s">
        <v>66</v>
      </c>
      <c r="N15" s="100">
        <f>O15/2</f>
        <v>25</v>
      </c>
      <c r="O15" s="101">
        <v>50</v>
      </c>
      <c r="P15" s="59">
        <v>170</v>
      </c>
      <c r="Q15" s="60">
        <v>195</v>
      </c>
      <c r="R15" s="48"/>
      <c r="S15" s="48">
        <f t="shared" si="4"/>
        <v>975</v>
      </c>
      <c r="T15" s="18">
        <v>5.5</v>
      </c>
      <c r="U15" s="37">
        <v>150</v>
      </c>
      <c r="V15" s="56">
        <f t="shared" si="0"/>
        <v>825</v>
      </c>
      <c r="W15" s="65">
        <f t="shared" si="1"/>
        <v>1825</v>
      </c>
      <c r="X15" s="57">
        <v>15</v>
      </c>
      <c r="Y15" s="48"/>
      <c r="Z15" s="48">
        <v>20</v>
      </c>
      <c r="AA15" s="72">
        <f>X15+Z15+Y15</f>
        <v>35</v>
      </c>
      <c r="AB15" s="122">
        <v>3250</v>
      </c>
      <c r="AC15" s="61">
        <f t="shared" si="3"/>
        <v>564.04958677685954</v>
      </c>
      <c r="AD15" s="83">
        <f t="shared" si="5"/>
        <v>2685.9504132231405</v>
      </c>
      <c r="AE15" s="79">
        <f>AD15-Y15-X15-W15-Z15</f>
        <v>825.95041322314046</v>
      </c>
      <c r="AF15" s="84">
        <f t="shared" si="6"/>
        <v>0.30750769230769232</v>
      </c>
      <c r="AG15" s="164"/>
      <c r="AH15" s="165">
        <f t="shared" si="7"/>
        <v>0.444059361947925</v>
      </c>
      <c r="AJ15" s="122">
        <f t="shared" si="8"/>
        <v>3375.9</v>
      </c>
      <c r="AK15" s="163">
        <f t="shared" si="9"/>
        <v>585.90000000000009</v>
      </c>
      <c r="AL15" s="83">
        <f t="shared" si="10"/>
        <v>2790</v>
      </c>
      <c r="AM15" s="79">
        <f>W15+X15+Y15+Z15</f>
        <v>1860</v>
      </c>
      <c r="AN15" s="165">
        <f t="shared" si="11"/>
        <v>0.5</v>
      </c>
      <c r="AO15" s="303">
        <f>AL15-AD15</f>
        <v>104.04958677685954</v>
      </c>
      <c r="AP15" s="87"/>
    </row>
    <row r="16" spans="1:42" x14ac:dyDescent="0.3">
      <c r="A16" s="10" t="s">
        <v>45</v>
      </c>
      <c r="B16" s="20" t="s">
        <v>22</v>
      </c>
      <c r="C16" s="11" t="s">
        <v>47</v>
      </c>
      <c r="D16" s="21">
        <v>40</v>
      </c>
      <c r="E16" s="13">
        <v>0.3</v>
      </c>
      <c r="F16" s="21">
        <v>14</v>
      </c>
      <c r="G16" s="22">
        <v>30</v>
      </c>
      <c r="H16" s="13" t="s">
        <v>39</v>
      </c>
      <c r="I16" s="14" t="s">
        <v>39</v>
      </c>
      <c r="J16" s="14" t="s">
        <v>39</v>
      </c>
      <c r="K16" s="14" t="s">
        <v>39</v>
      </c>
      <c r="L16" s="15"/>
      <c r="M16" s="14" t="s">
        <v>67</v>
      </c>
      <c r="N16" s="31">
        <v>50</v>
      </c>
      <c r="O16" s="102">
        <f>N16*2</f>
        <v>100</v>
      </c>
      <c r="P16" s="58">
        <v>100</v>
      </c>
      <c r="Q16" s="50">
        <v>20</v>
      </c>
      <c r="R16" s="50"/>
      <c r="S16" s="48">
        <f t="shared" si="4"/>
        <v>220</v>
      </c>
      <c r="T16" s="10">
        <v>2.34</v>
      </c>
      <c r="U16" s="37">
        <v>150</v>
      </c>
      <c r="V16" s="55">
        <f t="shared" ref="V16:V45" si="24">T16*U16</f>
        <v>351</v>
      </c>
      <c r="W16" s="63">
        <f t="shared" si="1"/>
        <v>601</v>
      </c>
      <c r="X16" s="57">
        <v>15</v>
      </c>
      <c r="Y16" s="48"/>
      <c r="Z16" s="48">
        <v>20</v>
      </c>
      <c r="AA16" s="70">
        <f t="shared" ref="AA16:AA18" si="25">X16+Z16+Y16</f>
        <v>35</v>
      </c>
      <c r="AB16" s="77">
        <v>1500</v>
      </c>
      <c r="AC16" s="74">
        <f t="shared" si="3"/>
        <v>260.33057851239664</v>
      </c>
      <c r="AD16" s="81">
        <f t="shared" si="5"/>
        <v>1239.6694214876034</v>
      </c>
      <c r="AE16" s="78">
        <f>AD16-Y16-X16-W16-Z16</f>
        <v>603.66942148760336</v>
      </c>
      <c r="AF16" s="85">
        <f t="shared" si="6"/>
        <v>0.48696</v>
      </c>
      <c r="AG16" s="164"/>
      <c r="AH16" s="119">
        <f t="shared" si="7"/>
        <v>0.94916575705598016</v>
      </c>
      <c r="AJ16" s="121">
        <f t="shared" si="8"/>
        <v>1154.3399999999999</v>
      </c>
      <c r="AK16" s="74">
        <f t="shared" si="9"/>
        <v>200.33999999999992</v>
      </c>
      <c r="AL16" s="81">
        <f t="shared" si="10"/>
        <v>954</v>
      </c>
      <c r="AM16" s="78">
        <f>W16+X16+Y16+Z16</f>
        <v>636</v>
      </c>
      <c r="AN16" s="119">
        <f t="shared" si="11"/>
        <v>0.5</v>
      </c>
      <c r="AO16" s="302">
        <f>AL16-AD16</f>
        <v>-285.66942148760336</v>
      </c>
      <c r="AP16" s="87"/>
    </row>
    <row r="17" spans="1:42" x14ac:dyDescent="0.3">
      <c r="A17" s="10" t="s">
        <v>45</v>
      </c>
      <c r="B17" s="20" t="s">
        <v>23</v>
      </c>
      <c r="C17" s="11" t="s">
        <v>39</v>
      </c>
      <c r="D17" s="21" t="s">
        <v>39</v>
      </c>
      <c r="E17" s="13" t="s">
        <v>39</v>
      </c>
      <c r="F17" s="21" t="s">
        <v>39</v>
      </c>
      <c r="G17" s="22"/>
      <c r="H17" s="13" t="s">
        <v>61</v>
      </c>
      <c r="I17" s="32"/>
      <c r="J17" s="32"/>
      <c r="K17" s="14">
        <v>35</v>
      </c>
      <c r="L17" s="33">
        <f>K17*6</f>
        <v>210</v>
      </c>
      <c r="M17" s="14" t="s">
        <v>39</v>
      </c>
      <c r="N17" s="31"/>
      <c r="O17" s="103"/>
      <c r="P17" s="58">
        <v>75</v>
      </c>
      <c r="Q17" s="50">
        <v>15</v>
      </c>
      <c r="R17" s="50"/>
      <c r="S17" s="48">
        <f t="shared" si="4"/>
        <v>300</v>
      </c>
      <c r="T17" s="10">
        <v>2</v>
      </c>
      <c r="U17" s="37">
        <v>150</v>
      </c>
      <c r="V17" s="55">
        <f t="shared" si="24"/>
        <v>300</v>
      </c>
      <c r="W17" s="63">
        <f t="shared" si="1"/>
        <v>600</v>
      </c>
      <c r="X17" s="57">
        <v>15</v>
      </c>
      <c r="Y17" s="48"/>
      <c r="Z17" s="48">
        <v>20</v>
      </c>
      <c r="AA17" s="70">
        <f t="shared" si="25"/>
        <v>35</v>
      </c>
      <c r="AB17" s="121">
        <v>1490</v>
      </c>
      <c r="AC17" s="74">
        <f t="shared" si="3"/>
        <v>258.59504132231405</v>
      </c>
      <c r="AD17" s="81">
        <f t="shared" si="5"/>
        <v>1231.404958677686</v>
      </c>
      <c r="AE17" s="78">
        <f>AD17-Y17-X17-W17-Z17</f>
        <v>596.40495867768595</v>
      </c>
      <c r="AF17" s="85">
        <f t="shared" si="6"/>
        <v>0.48432885906040268</v>
      </c>
      <c r="AG17" s="164"/>
      <c r="AH17" s="119">
        <f t="shared" si="7"/>
        <v>0.93922040736643453</v>
      </c>
      <c r="AJ17" s="121">
        <f t="shared" si="8"/>
        <v>1152.5249999999999</v>
      </c>
      <c r="AK17" s="74">
        <f t="shared" si="9"/>
        <v>200.02499999999986</v>
      </c>
      <c r="AL17" s="81">
        <f t="shared" si="10"/>
        <v>952.5</v>
      </c>
      <c r="AM17" s="78">
        <f>W17+X17+Y17+Z17</f>
        <v>635</v>
      </c>
      <c r="AN17" s="119">
        <f t="shared" si="11"/>
        <v>0.5</v>
      </c>
      <c r="AO17" s="302">
        <f>AL17-AD17</f>
        <v>-278.90495867768595</v>
      </c>
      <c r="AP17" s="87"/>
    </row>
    <row r="18" spans="1:42" x14ac:dyDescent="0.3">
      <c r="A18" s="10" t="s">
        <v>45</v>
      </c>
      <c r="B18" s="20" t="s">
        <v>24</v>
      </c>
      <c r="C18" s="11" t="s">
        <v>50</v>
      </c>
      <c r="D18" s="21">
        <v>4</v>
      </c>
      <c r="E18" s="13">
        <v>3.5</v>
      </c>
      <c r="F18" s="21">
        <f>D18*E18</f>
        <v>14</v>
      </c>
      <c r="G18" s="22">
        <v>30</v>
      </c>
      <c r="H18" s="13" t="s">
        <v>87</v>
      </c>
      <c r="I18" s="11"/>
      <c r="J18" s="11"/>
      <c r="K18" s="14">
        <v>30</v>
      </c>
      <c r="L18" s="33">
        <f>K18*2</f>
        <v>60</v>
      </c>
      <c r="M18" s="14" t="s">
        <v>39</v>
      </c>
      <c r="N18" s="31"/>
      <c r="O18" s="103"/>
      <c r="P18" s="58">
        <v>110</v>
      </c>
      <c r="Q18" s="50">
        <v>35</v>
      </c>
      <c r="R18" s="50"/>
      <c r="S18" s="48">
        <f t="shared" si="4"/>
        <v>205</v>
      </c>
      <c r="T18" s="10">
        <v>5.6</v>
      </c>
      <c r="U18" s="37">
        <v>150</v>
      </c>
      <c r="V18" s="55">
        <f t="shared" si="24"/>
        <v>840</v>
      </c>
      <c r="W18" s="63">
        <f t="shared" si="1"/>
        <v>1075</v>
      </c>
      <c r="X18" s="57">
        <v>15</v>
      </c>
      <c r="Y18" s="48"/>
      <c r="Z18" s="48">
        <v>20</v>
      </c>
      <c r="AA18" s="70">
        <f t="shared" si="25"/>
        <v>35</v>
      </c>
      <c r="AB18" s="121">
        <v>1900</v>
      </c>
      <c r="AC18" s="74">
        <f t="shared" si="3"/>
        <v>329.75206611570252</v>
      </c>
      <c r="AD18" s="81">
        <f t="shared" si="5"/>
        <v>1570.2479338842975</v>
      </c>
      <c r="AE18" s="78">
        <f>AD18-Y18-X18-W18-Z18</f>
        <v>460.24793388429748</v>
      </c>
      <c r="AF18" s="85">
        <f t="shared" si="6"/>
        <v>0.2931052631578947</v>
      </c>
      <c r="AG18" s="164"/>
      <c r="AH18" s="119">
        <f t="shared" si="7"/>
        <v>0.41463777827414189</v>
      </c>
      <c r="AJ18" s="121">
        <f t="shared" si="8"/>
        <v>2014.6499999999999</v>
      </c>
      <c r="AK18" s="74">
        <f t="shared" si="9"/>
        <v>349.64999999999986</v>
      </c>
      <c r="AL18" s="81">
        <f t="shared" si="10"/>
        <v>1665</v>
      </c>
      <c r="AM18" s="78">
        <f>W18+X18+Y18+Z18</f>
        <v>1110</v>
      </c>
      <c r="AN18" s="119">
        <f t="shared" si="11"/>
        <v>0.5</v>
      </c>
      <c r="AO18" s="302">
        <f>AL18-AD18</f>
        <v>94.752066115702519</v>
      </c>
      <c r="AP18" s="87"/>
    </row>
    <row r="19" spans="1:42" x14ac:dyDescent="0.3">
      <c r="A19" s="210" t="s">
        <v>45</v>
      </c>
      <c r="B19" s="211" t="s">
        <v>15</v>
      </c>
      <c r="C19" s="210" t="s">
        <v>39</v>
      </c>
      <c r="D19" s="168" t="s">
        <v>39</v>
      </c>
      <c r="E19" s="210" t="s">
        <v>39</v>
      </c>
      <c r="F19" s="168" t="s">
        <v>39</v>
      </c>
      <c r="G19" s="216"/>
      <c r="H19" s="8" t="s">
        <v>62</v>
      </c>
      <c r="I19" s="4"/>
      <c r="J19" s="4"/>
      <c r="K19" s="99">
        <v>24</v>
      </c>
      <c r="L19" s="217">
        <f>(K19*28)+(2*K20)</f>
        <v>802</v>
      </c>
      <c r="M19" s="210" t="s">
        <v>66</v>
      </c>
      <c r="N19" s="168">
        <f>O19/2</f>
        <v>25</v>
      </c>
      <c r="O19" s="227">
        <v>50</v>
      </c>
      <c r="P19" s="166">
        <v>110</v>
      </c>
      <c r="Q19" s="168">
        <v>78</v>
      </c>
      <c r="R19" s="168"/>
      <c r="S19" s="168">
        <f>L19+O19+P19+Q19+R19</f>
        <v>1040</v>
      </c>
      <c r="T19" s="239">
        <v>4.2</v>
      </c>
      <c r="U19" s="257">
        <v>150</v>
      </c>
      <c r="V19" s="259">
        <f t="shared" si="24"/>
        <v>630</v>
      </c>
      <c r="W19" s="247">
        <f t="shared" si="1"/>
        <v>1670</v>
      </c>
      <c r="X19" s="166">
        <v>15</v>
      </c>
      <c r="Y19" s="168"/>
      <c r="Z19" s="168">
        <v>20</v>
      </c>
      <c r="AA19" s="203">
        <f>X19+Y19+Z19</f>
        <v>35</v>
      </c>
      <c r="AB19" s="195">
        <v>2790</v>
      </c>
      <c r="AC19" s="180">
        <f>AB19-(AB19/1.21)</f>
        <v>484.21487603305786</v>
      </c>
      <c r="AD19" s="189">
        <f>AB19-AC19</f>
        <v>2305.7851239669421</v>
      </c>
      <c r="AE19" s="190">
        <f>AD19-Z19-X19-W19-Y19</f>
        <v>600.78512396694214</v>
      </c>
      <c r="AF19" s="197">
        <f>AE19/AD19</f>
        <v>0.26055555555555554</v>
      </c>
      <c r="AG19" s="164"/>
      <c r="AH19" s="174">
        <f t="shared" si="7"/>
        <v>0.35236664162283998</v>
      </c>
      <c r="AJ19" s="195">
        <f>AL19*1.21</f>
        <v>3094.5749999999998</v>
      </c>
      <c r="AK19" s="180">
        <f>AJ19-AL19</f>
        <v>537.07499999999982</v>
      </c>
      <c r="AL19" s="170">
        <f>AM19*1.5</f>
        <v>2557.5</v>
      </c>
      <c r="AM19" s="172">
        <f>Z19+X19+W19+Y19</f>
        <v>1705</v>
      </c>
      <c r="AN19" s="174">
        <f>(AL19-AM19)/AM19</f>
        <v>0.5</v>
      </c>
      <c r="AO19" s="304">
        <f>AL19-AD19</f>
        <v>251.71487603305786</v>
      </c>
      <c r="AP19" s="161"/>
    </row>
    <row r="20" spans="1:42" x14ac:dyDescent="0.3">
      <c r="A20" s="207"/>
      <c r="B20" s="212"/>
      <c r="C20" s="207"/>
      <c r="D20" s="169"/>
      <c r="E20" s="207"/>
      <c r="F20" s="169"/>
      <c r="G20" s="215"/>
      <c r="H20" s="34" t="s">
        <v>63</v>
      </c>
      <c r="I20" s="35"/>
      <c r="J20" s="35"/>
      <c r="K20" s="89">
        <v>65</v>
      </c>
      <c r="L20" s="218"/>
      <c r="M20" s="207"/>
      <c r="N20" s="169"/>
      <c r="O20" s="228"/>
      <c r="P20" s="167"/>
      <c r="Q20" s="169"/>
      <c r="R20" s="169"/>
      <c r="S20" s="169"/>
      <c r="T20" s="232"/>
      <c r="U20" s="258"/>
      <c r="V20" s="260"/>
      <c r="W20" s="247"/>
      <c r="X20" s="167"/>
      <c r="Y20" s="169"/>
      <c r="Z20" s="169"/>
      <c r="AA20" s="204"/>
      <c r="AB20" s="194"/>
      <c r="AC20" s="169"/>
      <c r="AD20" s="171"/>
      <c r="AE20" s="173"/>
      <c r="AF20" s="198"/>
      <c r="AG20" s="164"/>
      <c r="AH20" s="175"/>
      <c r="AJ20" s="194"/>
      <c r="AK20" s="169"/>
      <c r="AL20" s="171"/>
      <c r="AM20" s="190"/>
      <c r="AN20" s="175"/>
      <c r="AO20" s="305"/>
      <c r="AP20" s="161"/>
    </row>
    <row r="21" spans="1:42" x14ac:dyDescent="0.3">
      <c r="A21" s="10" t="s">
        <v>45</v>
      </c>
      <c r="B21" s="20" t="s">
        <v>93</v>
      </c>
      <c r="C21" s="11" t="s">
        <v>39</v>
      </c>
      <c r="D21" s="21" t="s">
        <v>39</v>
      </c>
      <c r="E21" s="13" t="s">
        <v>39</v>
      </c>
      <c r="F21" s="21" t="s">
        <v>39</v>
      </c>
      <c r="G21" s="22"/>
      <c r="H21" s="13"/>
      <c r="I21" s="11"/>
      <c r="J21" s="11"/>
      <c r="K21" s="88"/>
      <c r="L21" s="33">
        <v>2370</v>
      </c>
      <c r="M21" s="13" t="s">
        <v>66</v>
      </c>
      <c r="N21" s="50">
        <f>O21/2</f>
        <v>52</v>
      </c>
      <c r="O21" s="104">
        <v>104</v>
      </c>
      <c r="P21" s="58">
        <v>560</v>
      </c>
      <c r="Q21" s="50"/>
      <c r="R21" s="50"/>
      <c r="S21" s="48">
        <f>L21+P21+Q21+O21+R21</f>
        <v>3034</v>
      </c>
      <c r="T21" s="10">
        <v>17.100000000000001</v>
      </c>
      <c r="U21" s="37">
        <v>150</v>
      </c>
      <c r="V21" s="55">
        <f t="shared" si="24"/>
        <v>2565</v>
      </c>
      <c r="W21" s="63">
        <f>G21+L21+O21+R21+Q21+P21+V21</f>
        <v>5599</v>
      </c>
      <c r="X21" s="57">
        <v>15</v>
      </c>
      <c r="Y21" s="48"/>
      <c r="Z21" s="48">
        <v>20</v>
      </c>
      <c r="AA21" s="70">
        <f t="shared" ref="AA21:AA23" si="26">X21+Z21+Y21</f>
        <v>35</v>
      </c>
      <c r="AB21" s="73">
        <v>7900</v>
      </c>
      <c r="AC21" s="74">
        <f t="shared" ref="AC21:AC45" si="27">AB21-(AB21/1.21)</f>
        <v>1371.0743801652889</v>
      </c>
      <c r="AD21" s="81">
        <f t="shared" ref="AD21" si="28">AB21-AC21</f>
        <v>6528.9256198347111</v>
      </c>
      <c r="AE21" s="78">
        <f>AD21-Y21-X21-W21-Z21</f>
        <v>894.92561983471114</v>
      </c>
      <c r="AF21" s="85">
        <f t="shared" ref="AF21" si="29">AE21/AD21</f>
        <v>0.13707088607594942</v>
      </c>
      <c r="AG21" s="164"/>
      <c r="AH21" s="119">
        <f t="shared" si="7"/>
        <v>0.15884373798983159</v>
      </c>
      <c r="AJ21" s="121">
        <f t="shared" ref="AJ21" si="30">AL21*1.21</f>
        <v>10225.709999999999</v>
      </c>
      <c r="AK21" s="74">
        <f t="shared" ref="AK21:AK24" si="31">AJ21-AL21</f>
        <v>1774.7099999999991</v>
      </c>
      <c r="AL21" s="81">
        <f t="shared" ref="AL21:AL24" si="32">AM21*1.5</f>
        <v>8451</v>
      </c>
      <c r="AM21" s="78">
        <f>W21+X21+Y21+Z21</f>
        <v>5634</v>
      </c>
      <c r="AN21" s="119">
        <f t="shared" ref="AN21" si="33">(AL21-AM21)/AM21</f>
        <v>0.5</v>
      </c>
      <c r="AO21" s="302">
        <f>AL21-AD21</f>
        <v>1922.0743801652889</v>
      </c>
      <c r="AP21" s="87"/>
    </row>
    <row r="22" spans="1:42" x14ac:dyDescent="0.3">
      <c r="A22" s="10" t="s">
        <v>45</v>
      </c>
      <c r="B22" s="20" t="s">
        <v>89</v>
      </c>
      <c r="C22" s="11" t="s">
        <v>39</v>
      </c>
      <c r="D22" s="21" t="s">
        <v>39</v>
      </c>
      <c r="E22" s="13" t="s">
        <v>39</v>
      </c>
      <c r="F22" s="21" t="s">
        <v>39</v>
      </c>
      <c r="G22" s="22"/>
      <c r="H22" s="13"/>
      <c r="I22" s="11"/>
      <c r="J22" s="11"/>
      <c r="K22" s="14"/>
      <c r="L22" s="33">
        <v>1702</v>
      </c>
      <c r="M22" s="94" t="s">
        <v>66</v>
      </c>
      <c r="N22" s="50">
        <f>O22/2</f>
        <v>30</v>
      </c>
      <c r="O22" s="149">
        <v>60</v>
      </c>
      <c r="P22" s="58">
        <v>425</v>
      </c>
      <c r="Q22" s="50"/>
      <c r="R22" s="50"/>
      <c r="S22" s="50">
        <f>L22+P22+Q22+O22+R22</f>
        <v>2187</v>
      </c>
      <c r="T22" s="10">
        <v>6.96</v>
      </c>
      <c r="U22" s="31">
        <v>150</v>
      </c>
      <c r="V22" s="55">
        <f t="shared" ref="V22:V24" si="34">T22*U22</f>
        <v>1044</v>
      </c>
      <c r="W22" s="63">
        <f>G22+L22+O22+R22+Q22+P22+V22</f>
        <v>3231</v>
      </c>
      <c r="X22" s="58">
        <v>15</v>
      </c>
      <c r="Y22" s="50"/>
      <c r="Z22" s="50">
        <v>20</v>
      </c>
      <c r="AA22" s="70">
        <f t="shared" si="26"/>
        <v>35</v>
      </c>
      <c r="AB22" s="73">
        <v>4950</v>
      </c>
      <c r="AC22" s="74">
        <f t="shared" ref="AC22:AC24" si="35">AB22-(AB22/1.21)</f>
        <v>859.09090909090901</v>
      </c>
      <c r="AD22" s="81">
        <f t="shared" ref="AD22:AD24" si="36">AB22-AC22</f>
        <v>4090.909090909091</v>
      </c>
      <c r="AE22" s="78">
        <f>AD22-Y22-X22-W22-Z22</f>
        <v>824.90909090909099</v>
      </c>
      <c r="AF22" s="85">
        <f t="shared" ref="AF22:AF24" si="37">AE22/AD22</f>
        <v>0.20164444444444446</v>
      </c>
      <c r="AG22" s="164"/>
      <c r="AH22" s="119">
        <f t="shared" si="7"/>
        <v>0.25257473695930527</v>
      </c>
      <c r="AJ22" s="121">
        <f t="shared" ref="AJ22:AJ24" si="38">AL22*1.21</f>
        <v>5927.79</v>
      </c>
      <c r="AK22" s="74">
        <f t="shared" si="31"/>
        <v>1028.79</v>
      </c>
      <c r="AL22" s="81">
        <f t="shared" si="32"/>
        <v>4899</v>
      </c>
      <c r="AM22" s="78">
        <f>W22+X22+Y22+Z22</f>
        <v>3266</v>
      </c>
      <c r="AN22" s="119">
        <f t="shared" ref="AN22:AN24" si="39">(AL22-AM22)/AM22</f>
        <v>0.5</v>
      </c>
      <c r="AO22" s="301">
        <f>AL22-AD22</f>
        <v>808.09090909090901</v>
      </c>
      <c r="AP22" s="87"/>
    </row>
    <row r="23" spans="1:42" x14ac:dyDescent="0.3">
      <c r="A23" s="16" t="s">
        <v>45</v>
      </c>
      <c r="B23" s="145" t="s">
        <v>137</v>
      </c>
      <c r="C23" s="16"/>
      <c r="D23" s="10"/>
      <c r="E23" s="10"/>
      <c r="F23" s="10"/>
      <c r="G23" s="17"/>
      <c r="H23" s="16"/>
      <c r="I23" s="10"/>
      <c r="J23" s="10"/>
      <c r="K23" s="10"/>
      <c r="L23" s="17"/>
      <c r="M23" s="146" t="s">
        <v>66</v>
      </c>
      <c r="N23" s="147">
        <f>O23/2</f>
        <v>25</v>
      </c>
      <c r="O23" s="148">
        <v>50</v>
      </c>
      <c r="P23" s="77">
        <v>625</v>
      </c>
      <c r="Q23" s="10"/>
      <c r="R23" s="10"/>
      <c r="S23" s="48">
        <f t="shared" ref="S23:S24" si="40">L23+P23+Q23+O23+R23</f>
        <v>675</v>
      </c>
      <c r="T23" s="10">
        <v>3.88</v>
      </c>
      <c r="U23" s="31">
        <v>150</v>
      </c>
      <c r="V23" s="138">
        <f t="shared" si="34"/>
        <v>582</v>
      </c>
      <c r="W23" s="63">
        <f t="shared" ref="W23:W24" si="41">G23+L23+O23+R23+Q23+P23+V23</f>
        <v>1257</v>
      </c>
      <c r="X23" s="58">
        <v>15</v>
      </c>
      <c r="Y23" s="50"/>
      <c r="Z23" s="50">
        <v>20</v>
      </c>
      <c r="AA23" s="70">
        <f t="shared" si="26"/>
        <v>35</v>
      </c>
      <c r="AB23" s="73">
        <v>2700</v>
      </c>
      <c r="AC23" s="74">
        <f t="shared" si="35"/>
        <v>468.59504132231405</v>
      </c>
      <c r="AD23" s="81">
        <f t="shared" si="36"/>
        <v>2231.404958677686</v>
      </c>
      <c r="AE23" s="78">
        <f>AD23-Y23-X23-W23-Z23</f>
        <v>939.40495867768595</v>
      </c>
      <c r="AF23" s="85">
        <f t="shared" si="37"/>
        <v>0.42099259259259258</v>
      </c>
      <c r="AG23" s="164"/>
      <c r="AH23" s="119">
        <f t="shared" si="7"/>
        <v>0.72709362126755883</v>
      </c>
      <c r="AJ23" s="121">
        <f t="shared" si="38"/>
        <v>2344.98</v>
      </c>
      <c r="AK23" s="74">
        <f t="shared" si="31"/>
        <v>406.98</v>
      </c>
      <c r="AL23" s="81">
        <f t="shared" si="32"/>
        <v>1938</v>
      </c>
      <c r="AM23" s="78">
        <f>W23+X23+Y23+Z23</f>
        <v>1292</v>
      </c>
      <c r="AN23" s="119">
        <f t="shared" si="39"/>
        <v>0.5</v>
      </c>
      <c r="AO23" s="302">
        <f>AL23-AD23</f>
        <v>-293.40495867768595</v>
      </c>
      <c r="AP23" s="87"/>
    </row>
    <row r="24" spans="1:42" ht="15" thickBot="1" x14ac:dyDescent="0.35">
      <c r="A24" s="150" t="s">
        <v>134</v>
      </c>
      <c r="B24" s="151" t="s">
        <v>138</v>
      </c>
      <c r="C24" s="150"/>
      <c r="D24" s="152"/>
      <c r="E24" s="152"/>
      <c r="F24" s="152"/>
      <c r="G24" s="151"/>
      <c r="H24" s="150"/>
      <c r="I24" s="152"/>
      <c r="J24" s="152"/>
      <c r="K24" s="152"/>
      <c r="L24" s="151"/>
      <c r="M24" s="153" t="s">
        <v>66</v>
      </c>
      <c r="N24" s="67">
        <f>O24/2</f>
        <v>30</v>
      </c>
      <c r="O24" s="154">
        <v>60</v>
      </c>
      <c r="P24" s="155">
        <v>1025</v>
      </c>
      <c r="Q24" s="152"/>
      <c r="R24" s="152"/>
      <c r="S24" s="67">
        <f t="shared" si="40"/>
        <v>1085</v>
      </c>
      <c r="T24" s="152">
        <v>5.03</v>
      </c>
      <c r="U24" s="54">
        <v>150</v>
      </c>
      <c r="V24" s="156">
        <f t="shared" si="34"/>
        <v>754.5</v>
      </c>
      <c r="W24" s="64">
        <f t="shared" si="41"/>
        <v>1839.5</v>
      </c>
      <c r="X24" s="66">
        <v>15</v>
      </c>
      <c r="Y24" s="67"/>
      <c r="Z24" s="67">
        <v>20</v>
      </c>
      <c r="AA24" s="71">
        <f>X24+Z24+Y24</f>
        <v>35</v>
      </c>
      <c r="AB24" s="75">
        <v>3500</v>
      </c>
      <c r="AC24" s="76">
        <f t="shared" si="35"/>
        <v>607.43801652892535</v>
      </c>
      <c r="AD24" s="82">
        <f t="shared" si="36"/>
        <v>2892.5619834710747</v>
      </c>
      <c r="AE24" s="80">
        <f>AD24-Y24-X24-W24-Z24</f>
        <v>1018.0619834710747</v>
      </c>
      <c r="AF24" s="86">
        <f t="shared" si="37"/>
        <v>0.35195857142857151</v>
      </c>
      <c r="AG24" s="164"/>
      <c r="AH24" s="120">
        <f t="shared" si="7"/>
        <v>0.54311122084346475</v>
      </c>
      <c r="AJ24" s="298">
        <f t="shared" si="38"/>
        <v>3402.2174999999997</v>
      </c>
      <c r="AK24" s="76">
        <f t="shared" si="31"/>
        <v>590.46749999999975</v>
      </c>
      <c r="AL24" s="82">
        <f t="shared" si="32"/>
        <v>2811.75</v>
      </c>
      <c r="AM24" s="80">
        <f>W24+X24+Y24+Z24</f>
        <v>1874.5</v>
      </c>
      <c r="AN24" s="120">
        <f t="shared" si="39"/>
        <v>0.5</v>
      </c>
      <c r="AO24" s="299">
        <f>AL24-AD24</f>
        <v>-80.811983471074655</v>
      </c>
      <c r="AP24" s="87"/>
    </row>
    <row r="25" spans="1:42" x14ac:dyDescent="0.3">
      <c r="A25" s="206" t="s">
        <v>51</v>
      </c>
      <c r="B25" s="208" t="s">
        <v>16</v>
      </c>
      <c r="C25" s="3" t="s">
        <v>52</v>
      </c>
      <c r="D25" s="7">
        <v>350</v>
      </c>
      <c r="E25" s="3">
        <v>1.31</v>
      </c>
      <c r="F25" s="7">
        <f t="shared" ref="F25:F30" si="42">D25*E25</f>
        <v>458.5</v>
      </c>
      <c r="G25" s="214">
        <v>500</v>
      </c>
      <c r="H25" s="243" t="s">
        <v>68</v>
      </c>
      <c r="I25" s="236"/>
      <c r="J25" s="236"/>
      <c r="K25" s="243">
        <v>36</v>
      </c>
      <c r="L25" s="245">
        <f>4*K25</f>
        <v>144</v>
      </c>
      <c r="M25" s="229"/>
      <c r="N25" s="231"/>
      <c r="O25" s="219"/>
      <c r="P25" s="233">
        <v>95</v>
      </c>
      <c r="Q25" s="221">
        <v>45</v>
      </c>
      <c r="R25" s="221"/>
      <c r="S25" s="180">
        <f>L25+O25+P25+Q25+R25</f>
        <v>284</v>
      </c>
      <c r="T25" s="231">
        <v>6.5</v>
      </c>
      <c r="U25" s="256">
        <v>150</v>
      </c>
      <c r="V25" s="255">
        <f t="shared" si="24"/>
        <v>975</v>
      </c>
      <c r="W25" s="254">
        <f>G25+L25+O25+R25+Q25+P25+V25</f>
        <v>1759</v>
      </c>
      <c r="X25" s="179">
        <v>15</v>
      </c>
      <c r="Y25" s="180">
        <v>20</v>
      </c>
      <c r="Z25" s="180">
        <v>20</v>
      </c>
      <c r="AA25" s="205">
        <f>X25+Y25+Z25</f>
        <v>55</v>
      </c>
      <c r="AB25" s="196">
        <v>2750</v>
      </c>
      <c r="AC25" s="180">
        <f t="shared" si="27"/>
        <v>477.27272727272702</v>
      </c>
      <c r="AD25" s="189">
        <f>AB25-AC25</f>
        <v>2272.727272727273</v>
      </c>
      <c r="AE25" s="190">
        <f>AD25-Z25-X25-W25-Y25</f>
        <v>458.72727272727298</v>
      </c>
      <c r="AF25" s="199">
        <f>AE25/AD25</f>
        <v>0.20184000000000007</v>
      </c>
      <c r="AG25" s="164"/>
      <c r="AH25" s="200">
        <f t="shared" si="7"/>
        <v>0.2528816277438109</v>
      </c>
      <c r="AJ25" s="195">
        <f>AL25*1.21</f>
        <v>3292.41</v>
      </c>
      <c r="AK25" s="180">
        <f>AJ25-AL25</f>
        <v>571.40999999999985</v>
      </c>
      <c r="AL25" s="189">
        <f>AM25*1.5</f>
        <v>2721</v>
      </c>
      <c r="AM25" s="190">
        <f>Z25+X25+W25+Y25</f>
        <v>1814</v>
      </c>
      <c r="AN25" s="200">
        <f>(AL25-AM25)/AM25</f>
        <v>0.5</v>
      </c>
      <c r="AO25" s="306">
        <f>AL25-AD25</f>
        <v>448.27272727272702</v>
      </c>
    </row>
    <row r="26" spans="1:42" x14ac:dyDescent="0.3">
      <c r="A26" s="207"/>
      <c r="B26" s="209"/>
      <c r="C26" s="34" t="s">
        <v>97</v>
      </c>
      <c r="D26" s="38">
        <v>6</v>
      </c>
      <c r="E26" s="34">
        <f>0.12/2</f>
        <v>0.06</v>
      </c>
      <c r="F26" s="38">
        <f t="shared" si="42"/>
        <v>0.36</v>
      </c>
      <c r="G26" s="215"/>
      <c r="H26" s="244"/>
      <c r="I26" s="237"/>
      <c r="J26" s="237"/>
      <c r="K26" s="244"/>
      <c r="L26" s="218"/>
      <c r="M26" s="230"/>
      <c r="N26" s="232"/>
      <c r="O26" s="220"/>
      <c r="P26" s="234"/>
      <c r="Q26" s="222"/>
      <c r="R26" s="222"/>
      <c r="S26" s="169"/>
      <c r="T26" s="232"/>
      <c r="U26" s="251"/>
      <c r="V26" s="253"/>
      <c r="W26" s="247"/>
      <c r="X26" s="167"/>
      <c r="Y26" s="169"/>
      <c r="Z26" s="169"/>
      <c r="AA26" s="204"/>
      <c r="AB26" s="192"/>
      <c r="AC26" s="169"/>
      <c r="AD26" s="171"/>
      <c r="AE26" s="173"/>
      <c r="AF26" s="198"/>
      <c r="AG26" s="164"/>
      <c r="AH26" s="175"/>
      <c r="AJ26" s="194"/>
      <c r="AK26" s="169"/>
      <c r="AL26" s="171"/>
      <c r="AM26" s="190"/>
      <c r="AN26" s="175"/>
      <c r="AO26" s="305"/>
    </row>
    <row r="27" spans="1:42" x14ac:dyDescent="0.3">
      <c r="A27" s="210" t="s">
        <v>51</v>
      </c>
      <c r="B27" s="211" t="s">
        <v>29</v>
      </c>
      <c r="C27" s="8" t="s">
        <v>53</v>
      </c>
      <c r="D27" s="40">
        <v>300</v>
      </c>
      <c r="E27" s="8">
        <v>0.5</v>
      </c>
      <c r="F27" s="40">
        <f t="shared" si="42"/>
        <v>150</v>
      </c>
      <c r="G27" s="214">
        <f>(F28*2)+F27</f>
        <v>151.19999999999999</v>
      </c>
      <c r="H27" s="246" t="s">
        <v>69</v>
      </c>
      <c r="I27" s="241"/>
      <c r="J27" s="241"/>
      <c r="K27" s="246">
        <v>36</v>
      </c>
      <c r="L27" s="217">
        <f>K27*2</f>
        <v>72</v>
      </c>
      <c r="M27" s="238"/>
      <c r="N27" s="239"/>
      <c r="O27" s="240"/>
      <c r="P27" s="262">
        <v>80</v>
      </c>
      <c r="Q27" s="261">
        <v>33</v>
      </c>
      <c r="R27" s="261"/>
      <c r="S27" s="168">
        <f>L27+O27+P27+Q27+R27</f>
        <v>185</v>
      </c>
      <c r="T27" s="239">
        <v>3</v>
      </c>
      <c r="U27" s="250">
        <v>150</v>
      </c>
      <c r="V27" s="252">
        <f t="shared" si="24"/>
        <v>450</v>
      </c>
      <c r="W27" s="247">
        <f>G27+L27+O27+R27+Q27+P27+V27</f>
        <v>786.2</v>
      </c>
      <c r="X27" s="179">
        <v>15</v>
      </c>
      <c r="Y27" s="180">
        <v>20</v>
      </c>
      <c r="Z27" s="180">
        <v>20</v>
      </c>
      <c r="AA27" s="205">
        <f>X27+Y27+Z27</f>
        <v>55</v>
      </c>
      <c r="AB27" s="191">
        <v>1590</v>
      </c>
      <c r="AC27" s="168">
        <f t="shared" si="27"/>
        <v>275.95041322314046</v>
      </c>
      <c r="AD27" s="189">
        <f>AB27-AC27</f>
        <v>1314.0495867768595</v>
      </c>
      <c r="AE27" s="190">
        <f>AD27-Z27-X27-W27-Y27</f>
        <v>472.8495867768595</v>
      </c>
      <c r="AF27" s="197">
        <f>AE27/AD27</f>
        <v>0.35984150943396226</v>
      </c>
      <c r="AG27" s="164"/>
      <c r="AH27" s="174">
        <f t="shared" si="7"/>
        <v>0.56211315594015632</v>
      </c>
      <c r="AJ27" s="195">
        <f>AL27*1.21</f>
        <v>1526.7780000000002</v>
      </c>
      <c r="AK27" s="180">
        <f>AJ27-AL27</f>
        <v>264.97800000000007</v>
      </c>
      <c r="AL27" s="170">
        <f>AM27*1.5</f>
        <v>1261.8000000000002</v>
      </c>
      <c r="AM27" s="172">
        <f>Z27+X27+W27+Y27</f>
        <v>841.2</v>
      </c>
      <c r="AN27" s="174">
        <f>(AL27-AM27)/AM27</f>
        <v>0.50000000000000011</v>
      </c>
      <c r="AO27" s="304">
        <f>AL27-AD27</f>
        <v>-52.24958677685936</v>
      </c>
    </row>
    <row r="28" spans="1:42" x14ac:dyDescent="0.3">
      <c r="A28" s="207"/>
      <c r="B28" s="212"/>
      <c r="C28" s="34" t="s">
        <v>96</v>
      </c>
      <c r="D28" s="41">
        <v>6</v>
      </c>
      <c r="E28" s="35">
        <v>0.1</v>
      </c>
      <c r="F28" s="41">
        <f t="shared" si="42"/>
        <v>0.60000000000000009</v>
      </c>
      <c r="G28" s="215"/>
      <c r="H28" s="244"/>
      <c r="I28" s="242"/>
      <c r="J28" s="242"/>
      <c r="K28" s="244"/>
      <c r="L28" s="218"/>
      <c r="M28" s="230"/>
      <c r="N28" s="232"/>
      <c r="O28" s="220"/>
      <c r="P28" s="234"/>
      <c r="Q28" s="222"/>
      <c r="R28" s="222"/>
      <c r="S28" s="169"/>
      <c r="T28" s="232"/>
      <c r="U28" s="251"/>
      <c r="V28" s="253"/>
      <c r="W28" s="247"/>
      <c r="X28" s="167"/>
      <c r="Y28" s="169"/>
      <c r="Z28" s="169"/>
      <c r="AA28" s="204"/>
      <c r="AB28" s="192"/>
      <c r="AC28" s="169"/>
      <c r="AD28" s="171"/>
      <c r="AE28" s="173"/>
      <c r="AF28" s="198"/>
      <c r="AG28" s="164"/>
      <c r="AH28" s="175"/>
      <c r="AJ28" s="194"/>
      <c r="AK28" s="169"/>
      <c r="AL28" s="171"/>
      <c r="AM28" s="190"/>
      <c r="AN28" s="175"/>
      <c r="AO28" s="305"/>
    </row>
    <row r="29" spans="1:42" x14ac:dyDescent="0.3">
      <c r="A29" s="10" t="s">
        <v>51</v>
      </c>
      <c r="B29" s="97" t="s">
        <v>17</v>
      </c>
      <c r="C29" s="13" t="s">
        <v>54</v>
      </c>
      <c r="D29" s="12">
        <v>90</v>
      </c>
      <c r="E29" s="11">
        <v>0.2</v>
      </c>
      <c r="F29" s="21">
        <f t="shared" si="42"/>
        <v>18</v>
      </c>
      <c r="G29" s="22">
        <v>30</v>
      </c>
      <c r="H29" s="44" t="s">
        <v>70</v>
      </c>
      <c r="I29" s="42"/>
      <c r="J29" s="42"/>
      <c r="K29" s="14">
        <v>18</v>
      </c>
      <c r="L29" s="33">
        <f>8*18</f>
        <v>144</v>
      </c>
      <c r="M29" s="10"/>
      <c r="N29" s="10"/>
      <c r="O29" s="17"/>
      <c r="P29" s="58">
        <v>80</v>
      </c>
      <c r="Q29" s="50">
        <v>30</v>
      </c>
      <c r="R29" s="50"/>
      <c r="S29" s="48">
        <f>L29+P29+Q29+O29+R29</f>
        <v>254</v>
      </c>
      <c r="T29" s="10">
        <v>3.5</v>
      </c>
      <c r="U29" s="37">
        <v>150</v>
      </c>
      <c r="V29" s="55">
        <f t="shared" si="24"/>
        <v>525</v>
      </c>
      <c r="W29" s="63">
        <f>G29+L29+O29+R29+Q29+P29+V29</f>
        <v>809</v>
      </c>
      <c r="X29" s="57">
        <v>15</v>
      </c>
      <c r="Y29" s="48">
        <v>20</v>
      </c>
      <c r="Z29" s="48">
        <v>20</v>
      </c>
      <c r="AA29" s="70">
        <f t="shared" ref="AA29:AA31" si="43">X29+Z29+Y29</f>
        <v>55</v>
      </c>
      <c r="AB29" s="123">
        <v>1620</v>
      </c>
      <c r="AC29" s="74">
        <f t="shared" si="27"/>
        <v>281.15702479338847</v>
      </c>
      <c r="AD29" s="81">
        <f t="shared" ref="AD29:AD31" si="44">AB29-AC29</f>
        <v>1338.8429752066115</v>
      </c>
      <c r="AE29" s="78">
        <f>AD29-Y29-X29-W29-Z29</f>
        <v>474.84297520661153</v>
      </c>
      <c r="AF29" s="85">
        <f>AE29/AD29</f>
        <v>0.35466666666666663</v>
      </c>
      <c r="AG29" s="164"/>
      <c r="AH29" s="119">
        <f t="shared" si="7"/>
        <v>0.54958677685950408</v>
      </c>
      <c r="AJ29" s="121">
        <f t="shared" ref="AJ29" si="45">AL29*1.21</f>
        <v>1568.1599999999999</v>
      </c>
      <c r="AK29" s="74">
        <f t="shared" ref="AK29:AK31" si="46">AJ29-AL29</f>
        <v>272.15999999999985</v>
      </c>
      <c r="AL29" s="81">
        <f t="shared" ref="AL29:AL31" si="47">AM29*1.5</f>
        <v>1296</v>
      </c>
      <c r="AM29" s="78">
        <f>W29+X29+Y29+Z29</f>
        <v>864</v>
      </c>
      <c r="AN29" s="119">
        <f t="shared" ref="AN29" si="48">(AL29-AM29)/AM29</f>
        <v>0.5</v>
      </c>
      <c r="AO29" s="301">
        <f>AL29-AD29</f>
        <v>-42.842975206611527</v>
      </c>
    </row>
    <row r="30" spans="1:42" x14ac:dyDescent="0.3">
      <c r="A30" s="10" t="s">
        <v>51</v>
      </c>
      <c r="B30" s="97" t="s">
        <v>25</v>
      </c>
      <c r="C30" s="13" t="s">
        <v>55</v>
      </c>
      <c r="D30" s="12">
        <v>80</v>
      </c>
      <c r="E30" s="11">
        <v>0.9</v>
      </c>
      <c r="F30" s="12">
        <f t="shared" si="42"/>
        <v>72</v>
      </c>
      <c r="G30" s="22">
        <v>70</v>
      </c>
      <c r="H30" s="13" t="s">
        <v>39</v>
      </c>
      <c r="I30" s="11"/>
      <c r="J30" s="11"/>
      <c r="K30" s="14" t="s">
        <v>39</v>
      </c>
      <c r="L30" s="93"/>
      <c r="M30" s="10"/>
      <c r="N30" s="10"/>
      <c r="O30" s="17"/>
      <c r="P30" s="58">
        <v>98</v>
      </c>
      <c r="Q30" s="50">
        <v>12</v>
      </c>
      <c r="R30" s="50"/>
      <c r="S30" s="48">
        <f>L30+P30+Q30+O30+R30</f>
        <v>110</v>
      </c>
      <c r="T30" s="10">
        <v>4.3</v>
      </c>
      <c r="U30" s="37">
        <v>150</v>
      </c>
      <c r="V30" s="55">
        <f t="shared" si="24"/>
        <v>645</v>
      </c>
      <c r="W30" s="63">
        <f>G30+L30+O30+R30+Q30+P30+V30</f>
        <v>825</v>
      </c>
      <c r="X30" s="57">
        <v>15</v>
      </c>
      <c r="Y30" s="48">
        <v>20</v>
      </c>
      <c r="Z30" s="48">
        <v>20</v>
      </c>
      <c r="AA30" s="70">
        <f t="shared" si="43"/>
        <v>55</v>
      </c>
      <c r="AB30" s="123">
        <v>1650</v>
      </c>
      <c r="AC30" s="74">
        <f t="shared" si="27"/>
        <v>286.36363636363626</v>
      </c>
      <c r="AD30" s="81">
        <f t="shared" si="44"/>
        <v>1363.6363636363637</v>
      </c>
      <c r="AE30" s="78">
        <f>AD30-Y30-X30-W30-Z30</f>
        <v>483.63636363636374</v>
      </c>
      <c r="AF30" s="85">
        <f t="shared" ref="AF30:AF31" si="49">AE30/AD30</f>
        <v>0.35466666666666674</v>
      </c>
      <c r="AG30" s="164"/>
      <c r="AH30" s="119">
        <f t="shared" si="7"/>
        <v>0.5495867768595043</v>
      </c>
      <c r="AJ30" s="121">
        <f t="shared" ref="AJ30:AJ31" si="50">AL30*1.21</f>
        <v>1597.2</v>
      </c>
      <c r="AK30" s="74">
        <f t="shared" si="46"/>
        <v>277.20000000000005</v>
      </c>
      <c r="AL30" s="81">
        <f t="shared" si="47"/>
        <v>1320</v>
      </c>
      <c r="AM30" s="78">
        <f>W30+X30+Y30+Z30</f>
        <v>880</v>
      </c>
      <c r="AN30" s="119">
        <f t="shared" ref="AN30:AN31" si="51">(AL30-AM30)/AM30</f>
        <v>0.5</v>
      </c>
      <c r="AO30" s="302">
        <f>AL30-AD30</f>
        <v>-43.63636363636374</v>
      </c>
    </row>
    <row r="31" spans="1:42" x14ac:dyDescent="0.3">
      <c r="A31" s="10" t="s">
        <v>51</v>
      </c>
      <c r="B31" s="97" t="s">
        <v>19</v>
      </c>
      <c r="C31" s="13" t="s">
        <v>39</v>
      </c>
      <c r="D31" s="21" t="s">
        <v>39</v>
      </c>
      <c r="E31" s="21" t="s">
        <v>39</v>
      </c>
      <c r="F31" s="21" t="s">
        <v>39</v>
      </c>
      <c r="G31" s="43"/>
      <c r="H31" s="44" t="s">
        <v>68</v>
      </c>
      <c r="I31" s="42"/>
      <c r="J31" s="42"/>
      <c r="K31" s="44">
        <v>36</v>
      </c>
      <c r="L31" s="33">
        <f>4*K31</f>
        <v>144</v>
      </c>
      <c r="M31" s="10"/>
      <c r="N31" s="10"/>
      <c r="O31" s="17"/>
      <c r="P31" s="58">
        <v>85</v>
      </c>
      <c r="Q31" s="50">
        <v>20</v>
      </c>
      <c r="R31" s="50"/>
      <c r="S31" s="48">
        <f>L31+P31+Q31+O31+R31</f>
        <v>249</v>
      </c>
      <c r="T31" s="10">
        <v>2.7</v>
      </c>
      <c r="U31" s="37">
        <v>150</v>
      </c>
      <c r="V31" s="55">
        <f t="shared" si="24"/>
        <v>405</v>
      </c>
      <c r="W31" s="63">
        <f>G31+L31+O31+R31+Q31+P31+V31</f>
        <v>654</v>
      </c>
      <c r="X31" s="57">
        <v>15</v>
      </c>
      <c r="Y31" s="48">
        <v>20</v>
      </c>
      <c r="Z31" s="48">
        <v>20</v>
      </c>
      <c r="AA31" s="70">
        <f t="shared" si="43"/>
        <v>55</v>
      </c>
      <c r="AB31" s="123">
        <v>1450</v>
      </c>
      <c r="AC31" s="74">
        <f t="shared" si="27"/>
        <v>251.65289256198344</v>
      </c>
      <c r="AD31" s="81">
        <f t="shared" si="44"/>
        <v>1198.3471074380166</v>
      </c>
      <c r="AE31" s="78">
        <f>AD31-Y31-X31-W31-Z31</f>
        <v>489.34710743801656</v>
      </c>
      <c r="AF31" s="85">
        <f t="shared" si="49"/>
        <v>0.40835172413793103</v>
      </c>
      <c r="AG31" s="164"/>
      <c r="AH31" s="119">
        <f t="shared" si="7"/>
        <v>0.69019338143584852</v>
      </c>
      <c r="AJ31" s="121">
        <f t="shared" si="50"/>
        <v>1286.835</v>
      </c>
      <c r="AK31" s="74">
        <f t="shared" si="46"/>
        <v>223.33500000000004</v>
      </c>
      <c r="AL31" s="81">
        <f t="shared" si="47"/>
        <v>1063.5</v>
      </c>
      <c r="AM31" s="78">
        <f>W31+X31+Y31+Z31</f>
        <v>709</v>
      </c>
      <c r="AN31" s="119">
        <f t="shared" si="51"/>
        <v>0.5</v>
      </c>
      <c r="AO31" s="302">
        <f>AL31-AD31</f>
        <v>-134.84710743801656</v>
      </c>
    </row>
    <row r="32" spans="1:42" x14ac:dyDescent="0.3">
      <c r="A32" s="239" t="s">
        <v>51</v>
      </c>
      <c r="B32" s="211" t="s">
        <v>26</v>
      </c>
      <c r="C32" s="210" t="s">
        <v>57</v>
      </c>
      <c r="D32" s="168">
        <v>70</v>
      </c>
      <c r="E32" s="210">
        <f>0.27/6</f>
        <v>4.5000000000000005E-2</v>
      </c>
      <c r="F32" s="168">
        <f>D32*E32</f>
        <v>3.1500000000000004</v>
      </c>
      <c r="G32" s="216">
        <v>30</v>
      </c>
      <c r="H32" s="45" t="s">
        <v>71</v>
      </c>
      <c r="I32" s="46"/>
      <c r="J32" s="46"/>
      <c r="K32" s="5">
        <v>416</v>
      </c>
      <c r="L32" s="225">
        <f>K32+(K33*17)</f>
        <v>484</v>
      </c>
      <c r="M32" s="272"/>
      <c r="N32" s="241"/>
      <c r="O32" s="274"/>
      <c r="P32" s="166">
        <v>120</v>
      </c>
      <c r="Q32" s="168">
        <v>90</v>
      </c>
      <c r="R32" s="248"/>
      <c r="S32" s="168">
        <f>L32+O32+P32+Q32+R32</f>
        <v>694</v>
      </c>
      <c r="T32" s="239">
        <v>4.4000000000000004</v>
      </c>
      <c r="U32" s="250">
        <v>150</v>
      </c>
      <c r="V32" s="252">
        <f t="shared" si="24"/>
        <v>660</v>
      </c>
      <c r="W32" s="247">
        <f>G32+L32+O32+R32+Q32+P32+V32</f>
        <v>1384</v>
      </c>
      <c r="X32" s="166">
        <v>15</v>
      </c>
      <c r="Y32" s="168">
        <v>35</v>
      </c>
      <c r="Z32" s="168">
        <v>20</v>
      </c>
      <c r="AA32" s="203">
        <f>X32+Y32+Z32</f>
        <v>70</v>
      </c>
      <c r="AB32" s="193">
        <v>2350</v>
      </c>
      <c r="AC32" s="168">
        <f t="shared" si="27"/>
        <v>407.85123966942137</v>
      </c>
      <c r="AD32" s="189">
        <f>AB32-AC32</f>
        <v>1942.1487603305786</v>
      </c>
      <c r="AE32" s="190">
        <f>AD32-Z32-X32-W32-Y32</f>
        <v>488.14876033057863</v>
      </c>
      <c r="AF32" s="197">
        <f>AE32/AD32</f>
        <v>0.25134468085106387</v>
      </c>
      <c r="AG32" s="164"/>
      <c r="AH32" s="174">
        <f t="shared" si="7"/>
        <v>0.33572817079131956</v>
      </c>
      <c r="AJ32" s="195">
        <f>AL32*1.21</f>
        <v>2639.0099999999998</v>
      </c>
      <c r="AK32" s="180">
        <f>AJ32-AL32</f>
        <v>458.00999999999976</v>
      </c>
      <c r="AL32" s="170">
        <f>AM32*1.5</f>
        <v>2181</v>
      </c>
      <c r="AM32" s="172">
        <f>Z32+X32+W32+Y32</f>
        <v>1454</v>
      </c>
      <c r="AN32" s="174">
        <f>(AL32-AM32)/AM32</f>
        <v>0.5</v>
      </c>
      <c r="AO32" s="304">
        <f>AL32-AD32</f>
        <v>238.85123966942137</v>
      </c>
    </row>
    <row r="33" spans="1:41" x14ac:dyDescent="0.3">
      <c r="A33" s="232"/>
      <c r="B33" s="212"/>
      <c r="C33" s="207"/>
      <c r="D33" s="169"/>
      <c r="E33" s="207"/>
      <c r="F33" s="169"/>
      <c r="G33" s="215"/>
      <c r="H33" s="34" t="s">
        <v>72</v>
      </c>
      <c r="I33" s="35"/>
      <c r="J33" s="35"/>
      <c r="K33" s="36">
        <v>4</v>
      </c>
      <c r="L33" s="226"/>
      <c r="M33" s="273"/>
      <c r="N33" s="242"/>
      <c r="O33" s="275"/>
      <c r="P33" s="167"/>
      <c r="Q33" s="169"/>
      <c r="R33" s="249"/>
      <c r="S33" s="169"/>
      <c r="T33" s="232"/>
      <c r="U33" s="251"/>
      <c r="V33" s="253"/>
      <c r="W33" s="247"/>
      <c r="X33" s="167"/>
      <c r="Y33" s="169"/>
      <c r="Z33" s="169"/>
      <c r="AA33" s="204"/>
      <c r="AB33" s="194"/>
      <c r="AC33" s="169"/>
      <c r="AD33" s="171"/>
      <c r="AE33" s="173"/>
      <c r="AF33" s="198"/>
      <c r="AG33" s="164"/>
      <c r="AH33" s="175"/>
      <c r="AJ33" s="194"/>
      <c r="AK33" s="169"/>
      <c r="AL33" s="171"/>
      <c r="AM33" s="190"/>
      <c r="AN33" s="175"/>
      <c r="AO33" s="305"/>
    </row>
    <row r="34" spans="1:41" x14ac:dyDescent="0.3">
      <c r="A34" s="10" t="s">
        <v>51</v>
      </c>
      <c r="B34" s="109" t="s">
        <v>12</v>
      </c>
      <c r="C34" s="13" t="s">
        <v>13</v>
      </c>
      <c r="D34" s="50">
        <v>45</v>
      </c>
      <c r="E34" s="11">
        <v>1.18</v>
      </c>
      <c r="F34" s="12">
        <f t="shared" ref="F34:F38" si="52">D34*E34</f>
        <v>53.099999999999994</v>
      </c>
      <c r="G34" s="22">
        <v>65</v>
      </c>
      <c r="H34" s="51" t="s">
        <v>73</v>
      </c>
      <c r="I34" s="10"/>
      <c r="J34" s="10"/>
      <c r="K34" s="14">
        <v>18</v>
      </c>
      <c r="L34" s="33">
        <f>18*2</f>
        <v>36</v>
      </c>
      <c r="M34" s="10"/>
      <c r="N34" s="10"/>
      <c r="O34" s="17"/>
      <c r="P34" s="58">
        <v>90</v>
      </c>
      <c r="Q34" s="50">
        <v>20</v>
      </c>
      <c r="R34" s="50"/>
      <c r="S34" s="48">
        <f>L34+P34+Q34+O34+R34</f>
        <v>146</v>
      </c>
      <c r="T34" s="10">
        <v>5</v>
      </c>
      <c r="U34" s="37">
        <v>150</v>
      </c>
      <c r="V34" s="55">
        <f t="shared" si="24"/>
        <v>750</v>
      </c>
      <c r="W34" s="63">
        <f t="shared" ref="W34:W39" si="53">G34+L34+O34+R34+Q34+P34+V34</f>
        <v>961</v>
      </c>
      <c r="X34" s="57">
        <v>15</v>
      </c>
      <c r="Y34" s="48">
        <v>20</v>
      </c>
      <c r="Z34" s="48">
        <v>20</v>
      </c>
      <c r="AA34" s="70">
        <f t="shared" ref="AA34:AA38" si="54">X34+Z34+Y34</f>
        <v>55</v>
      </c>
      <c r="AB34" s="123">
        <v>1790</v>
      </c>
      <c r="AC34" s="74">
        <f t="shared" si="27"/>
        <v>310.66115702479328</v>
      </c>
      <c r="AD34" s="81">
        <f t="shared" ref="AD34:AD38" si="55">AB34-AC34</f>
        <v>1479.3388429752067</v>
      </c>
      <c r="AE34" s="144">
        <f>AD34-Y34-X34-W34-Z34</f>
        <v>463.33884297520672</v>
      </c>
      <c r="AF34" s="85">
        <f t="shared" ref="AF34:AF38" si="56">AE34/AD34</f>
        <v>0.31320670391061456</v>
      </c>
      <c r="AG34" s="164"/>
      <c r="AH34" s="119">
        <f t="shared" si="7"/>
        <v>0.45604216828268379</v>
      </c>
      <c r="AJ34" s="121">
        <f t="shared" ref="AJ34" si="57">AL34*1.21</f>
        <v>1844.04</v>
      </c>
      <c r="AK34" s="74">
        <f t="shared" ref="AK34:AK38" si="58">AJ34-AL34</f>
        <v>320.03999999999996</v>
      </c>
      <c r="AL34" s="81">
        <f t="shared" ref="AL34:AL38" si="59">AM34*1.5</f>
        <v>1524</v>
      </c>
      <c r="AM34" s="78">
        <f>W34+X34+Y34+Z34</f>
        <v>1016</v>
      </c>
      <c r="AN34" s="119">
        <f t="shared" ref="AN34" si="60">(AL34-AM34)/AM34</f>
        <v>0.5</v>
      </c>
      <c r="AO34" s="302">
        <f>AL34-AD34</f>
        <v>44.661157024793283</v>
      </c>
    </row>
    <row r="35" spans="1:41" x14ac:dyDescent="0.3">
      <c r="A35" s="18" t="s">
        <v>51</v>
      </c>
      <c r="B35" s="115" t="s">
        <v>104</v>
      </c>
      <c r="C35" s="110" t="s">
        <v>105</v>
      </c>
      <c r="D35" s="48">
        <v>270</v>
      </c>
      <c r="E35" s="112">
        <v>0.99</v>
      </c>
      <c r="F35" s="114">
        <f t="shared" ref="F35" si="61">D35*E35</f>
        <v>267.3</v>
      </c>
      <c r="G35" s="111">
        <v>300</v>
      </c>
      <c r="H35" s="49" t="s">
        <v>74</v>
      </c>
      <c r="I35" s="18"/>
      <c r="J35" s="18"/>
      <c r="K35" s="113"/>
      <c r="L35" s="47">
        <f>14*5.5</f>
        <v>77</v>
      </c>
      <c r="M35" s="18"/>
      <c r="N35" s="18"/>
      <c r="O35" s="19"/>
      <c r="P35" s="57">
        <v>110</v>
      </c>
      <c r="Q35" s="48">
        <v>55</v>
      </c>
      <c r="R35" s="48"/>
      <c r="S35" s="48">
        <f>L35+P35+Q35+O35+R35</f>
        <v>242</v>
      </c>
      <c r="T35" s="18">
        <v>4.4000000000000004</v>
      </c>
      <c r="U35" s="37">
        <v>150</v>
      </c>
      <c r="V35" s="55">
        <f t="shared" ref="V35" si="62">T35*U35</f>
        <v>660</v>
      </c>
      <c r="W35" s="63">
        <f t="shared" si="53"/>
        <v>1202</v>
      </c>
      <c r="X35" s="57">
        <v>15</v>
      </c>
      <c r="Y35" s="48">
        <v>20</v>
      </c>
      <c r="Z35" s="48">
        <v>20</v>
      </c>
      <c r="AA35" s="70">
        <f t="shared" si="54"/>
        <v>55</v>
      </c>
      <c r="AB35" s="123">
        <v>2100</v>
      </c>
      <c r="AC35" s="74">
        <f t="shared" ref="AC35" si="63">AB35-(AB35/1.21)</f>
        <v>364.46280991735534</v>
      </c>
      <c r="AD35" s="81">
        <f t="shared" ref="AD35" si="64">AB35-AC35</f>
        <v>1735.5371900826447</v>
      </c>
      <c r="AE35" s="78">
        <f>AD35-Y35-X35-W35-Z35</f>
        <v>478.53719008264466</v>
      </c>
      <c r="AF35" s="85">
        <f t="shared" si="56"/>
        <v>0.27572857142857143</v>
      </c>
      <c r="AG35" s="164"/>
      <c r="AH35" s="119">
        <f t="shared" si="7"/>
        <v>0.38069784413893765</v>
      </c>
      <c r="AJ35" s="121">
        <f t="shared" ref="AJ35:AJ38" si="65">AL35*1.21</f>
        <v>2281.4549999999999</v>
      </c>
      <c r="AK35" s="74">
        <f t="shared" si="58"/>
        <v>395.95499999999993</v>
      </c>
      <c r="AL35" s="81">
        <f t="shared" si="59"/>
        <v>1885.5</v>
      </c>
      <c r="AM35" s="78">
        <f>W35+X35+Y35+Z35</f>
        <v>1257</v>
      </c>
      <c r="AN35" s="119">
        <f t="shared" ref="AN35:AN38" si="66">(AL35-AM35)/AM35</f>
        <v>0.5</v>
      </c>
      <c r="AO35" s="301">
        <f>AL35-AD35</f>
        <v>149.96280991735534</v>
      </c>
    </row>
    <row r="36" spans="1:41" x14ac:dyDescent="0.3">
      <c r="A36" s="18" t="s">
        <v>51</v>
      </c>
      <c r="B36" s="98" t="s">
        <v>18</v>
      </c>
      <c r="C36" s="34" t="s">
        <v>58</v>
      </c>
      <c r="D36" s="48">
        <v>270</v>
      </c>
      <c r="E36" s="35">
        <v>0.99</v>
      </c>
      <c r="F36" s="41">
        <f t="shared" si="52"/>
        <v>267.3</v>
      </c>
      <c r="G36" s="39">
        <v>300</v>
      </c>
      <c r="H36" s="49" t="s">
        <v>74</v>
      </c>
      <c r="I36" s="18"/>
      <c r="J36" s="18"/>
      <c r="K36" s="36">
        <v>5.5</v>
      </c>
      <c r="L36" s="47">
        <f>14*5.5</f>
        <v>77</v>
      </c>
      <c r="M36" s="18"/>
      <c r="N36" s="18"/>
      <c r="O36" s="19"/>
      <c r="P36" s="57">
        <v>100</v>
      </c>
      <c r="Q36" s="48">
        <v>55</v>
      </c>
      <c r="R36" s="48"/>
      <c r="S36" s="48">
        <f>L36+P36+Q36+O36+R36</f>
        <v>232</v>
      </c>
      <c r="T36" s="18">
        <v>4.4000000000000004</v>
      </c>
      <c r="U36" s="37">
        <v>150</v>
      </c>
      <c r="V36" s="55">
        <f t="shared" si="24"/>
        <v>660</v>
      </c>
      <c r="W36" s="63">
        <f t="shared" si="53"/>
        <v>1192</v>
      </c>
      <c r="X36" s="57">
        <v>15</v>
      </c>
      <c r="Y36" s="48">
        <v>20</v>
      </c>
      <c r="Z36" s="48">
        <v>20</v>
      </c>
      <c r="AA36" s="70">
        <f t="shared" si="54"/>
        <v>55</v>
      </c>
      <c r="AB36" s="123">
        <v>2100</v>
      </c>
      <c r="AC36" s="74">
        <f t="shared" si="27"/>
        <v>364.46280991735534</v>
      </c>
      <c r="AD36" s="81">
        <f t="shared" si="55"/>
        <v>1735.5371900826447</v>
      </c>
      <c r="AE36" s="78">
        <f>AD36-Y36-X36-W36-Z36</f>
        <v>488.53719008264466</v>
      </c>
      <c r="AF36" s="85">
        <f t="shared" si="56"/>
        <v>0.28149047619047618</v>
      </c>
      <c r="AG36" s="164"/>
      <c r="AH36" s="119">
        <f t="shared" si="7"/>
        <v>0.39177000006627477</v>
      </c>
      <c r="AJ36" s="121">
        <f t="shared" si="65"/>
        <v>2263.3049999999998</v>
      </c>
      <c r="AK36" s="74">
        <f t="shared" si="58"/>
        <v>392.80499999999984</v>
      </c>
      <c r="AL36" s="81">
        <f t="shared" si="59"/>
        <v>1870.5</v>
      </c>
      <c r="AM36" s="78">
        <f>W36+X36+Y36+Z36</f>
        <v>1247</v>
      </c>
      <c r="AN36" s="119">
        <f t="shared" si="66"/>
        <v>0.5</v>
      </c>
      <c r="AO36" s="302">
        <f>AL36-AD36</f>
        <v>134.96280991735534</v>
      </c>
    </row>
    <row r="37" spans="1:41" x14ac:dyDescent="0.3">
      <c r="A37" s="10" t="s">
        <v>51</v>
      </c>
      <c r="B37" s="97" t="s">
        <v>14</v>
      </c>
      <c r="C37" s="13" t="s">
        <v>95</v>
      </c>
      <c r="D37" s="50">
        <v>90</v>
      </c>
      <c r="E37" s="11">
        <f>0.2/4</f>
        <v>0.05</v>
      </c>
      <c r="F37" s="12">
        <f t="shared" si="52"/>
        <v>4.5</v>
      </c>
      <c r="G37" s="22">
        <v>25</v>
      </c>
      <c r="H37" s="51" t="s">
        <v>75</v>
      </c>
      <c r="I37" s="10"/>
      <c r="J37" s="10"/>
      <c r="K37" s="14">
        <v>29</v>
      </c>
      <c r="L37" s="33">
        <f>2*K37</f>
        <v>58</v>
      </c>
      <c r="M37" s="10"/>
      <c r="N37" s="10"/>
      <c r="O37" s="17"/>
      <c r="P37" s="58">
        <v>100</v>
      </c>
      <c r="Q37" s="50">
        <v>30</v>
      </c>
      <c r="R37" s="50"/>
      <c r="S37" s="48">
        <f>L37+P37+Q37+O37+R37</f>
        <v>188</v>
      </c>
      <c r="T37" s="10">
        <v>4.8</v>
      </c>
      <c r="U37" s="37">
        <v>150</v>
      </c>
      <c r="V37" s="55">
        <f t="shared" si="24"/>
        <v>720</v>
      </c>
      <c r="W37" s="63">
        <f t="shared" si="53"/>
        <v>933</v>
      </c>
      <c r="X37" s="57">
        <v>15</v>
      </c>
      <c r="Y37" s="48">
        <v>20</v>
      </c>
      <c r="Z37" s="48">
        <v>20</v>
      </c>
      <c r="AA37" s="70">
        <f t="shared" si="54"/>
        <v>55</v>
      </c>
      <c r="AB37" s="123">
        <v>1750</v>
      </c>
      <c r="AC37" s="74">
        <f t="shared" si="27"/>
        <v>303.71900826446267</v>
      </c>
      <c r="AD37" s="81">
        <f t="shared" si="55"/>
        <v>1446.2809917355373</v>
      </c>
      <c r="AE37" s="78">
        <f>AD37-Y37-X37-W37-Z37</f>
        <v>458.28099173553733</v>
      </c>
      <c r="AF37" s="85">
        <f t="shared" si="56"/>
        <v>0.3168685714285715</v>
      </c>
      <c r="AG37" s="164"/>
      <c r="AH37" s="119">
        <f t="shared" si="7"/>
        <v>0.46384715762706208</v>
      </c>
      <c r="AJ37" s="121">
        <f t="shared" si="65"/>
        <v>1793.22</v>
      </c>
      <c r="AK37" s="74">
        <f t="shared" si="58"/>
        <v>311.22000000000003</v>
      </c>
      <c r="AL37" s="81">
        <f t="shared" si="59"/>
        <v>1482</v>
      </c>
      <c r="AM37" s="78">
        <f>W37+X37+Y37+Z37</f>
        <v>988</v>
      </c>
      <c r="AN37" s="119">
        <f t="shared" si="66"/>
        <v>0.5</v>
      </c>
      <c r="AO37" s="302">
        <f>AL37-AD37</f>
        <v>35.719008264462673</v>
      </c>
    </row>
    <row r="38" spans="1:41" x14ac:dyDescent="0.3">
      <c r="A38" s="10" t="s">
        <v>51</v>
      </c>
      <c r="B38" s="20" t="s">
        <v>27</v>
      </c>
      <c r="C38" s="13" t="s">
        <v>56</v>
      </c>
      <c r="D38" s="50">
        <v>80</v>
      </c>
      <c r="E38" s="11">
        <f>0.24/4</f>
        <v>0.06</v>
      </c>
      <c r="F38" s="12">
        <f t="shared" si="52"/>
        <v>4.8</v>
      </c>
      <c r="G38" s="22">
        <v>25</v>
      </c>
      <c r="H38" s="51" t="s">
        <v>76</v>
      </c>
      <c r="I38" s="10"/>
      <c r="J38" s="10"/>
      <c r="K38" s="14">
        <v>10</v>
      </c>
      <c r="L38" s="33">
        <f>10*14</f>
        <v>140</v>
      </c>
      <c r="M38" s="10"/>
      <c r="N38" s="10"/>
      <c r="O38" s="17"/>
      <c r="P38" s="106">
        <v>105</v>
      </c>
      <c r="Q38" s="107">
        <v>60</v>
      </c>
      <c r="R38" s="50"/>
      <c r="S38" s="48">
        <f>L38+P38+Q38+O38+R38</f>
        <v>305</v>
      </c>
      <c r="T38" s="10">
        <v>5.4</v>
      </c>
      <c r="U38" s="37">
        <v>150</v>
      </c>
      <c r="V38" s="55">
        <f t="shared" si="24"/>
        <v>810</v>
      </c>
      <c r="W38" s="63">
        <f t="shared" si="53"/>
        <v>1140</v>
      </c>
      <c r="X38" s="69">
        <v>15</v>
      </c>
      <c r="Y38" s="68">
        <v>35</v>
      </c>
      <c r="Z38" s="68">
        <v>20</v>
      </c>
      <c r="AA38" s="70">
        <f t="shared" si="54"/>
        <v>70</v>
      </c>
      <c r="AB38" s="123">
        <v>1990</v>
      </c>
      <c r="AC38" s="74">
        <f t="shared" si="27"/>
        <v>345.37190082644634</v>
      </c>
      <c r="AD38" s="81">
        <f t="shared" si="55"/>
        <v>1644.6280991735537</v>
      </c>
      <c r="AE38" s="144">
        <f>AD38-Y38-X38-W38-Z38</f>
        <v>434.62809917355366</v>
      </c>
      <c r="AF38" s="85">
        <f t="shared" si="56"/>
        <v>0.26427135678391955</v>
      </c>
      <c r="AG38" s="164"/>
      <c r="AH38" s="119">
        <f t="shared" si="7"/>
        <v>0.35919677617649065</v>
      </c>
      <c r="AJ38" s="121">
        <f t="shared" si="65"/>
        <v>2196.15</v>
      </c>
      <c r="AK38" s="74">
        <f t="shared" si="58"/>
        <v>381.15000000000009</v>
      </c>
      <c r="AL38" s="81">
        <f t="shared" si="59"/>
        <v>1815</v>
      </c>
      <c r="AM38" s="78">
        <f>W38+X38+Y38+Z38</f>
        <v>1210</v>
      </c>
      <c r="AN38" s="119">
        <f t="shared" si="66"/>
        <v>0.5</v>
      </c>
      <c r="AO38" s="301">
        <f>AL38-AD38</f>
        <v>170.37190082644634</v>
      </c>
    </row>
    <row r="39" spans="1:41" x14ac:dyDescent="0.3">
      <c r="A39" s="239" t="s">
        <v>51</v>
      </c>
      <c r="B39" s="279" t="s">
        <v>11</v>
      </c>
      <c r="C39" s="210" t="s">
        <v>39</v>
      </c>
      <c r="D39" s="168" t="s">
        <v>39</v>
      </c>
      <c r="E39" s="168" t="s">
        <v>39</v>
      </c>
      <c r="F39" s="168" t="s">
        <v>39</v>
      </c>
      <c r="G39" s="203"/>
      <c r="H39" s="45" t="s">
        <v>107</v>
      </c>
      <c r="I39" s="45"/>
      <c r="J39" s="45"/>
      <c r="K39" s="99">
        <v>12.85</v>
      </c>
      <c r="L39" s="217">
        <f>(K39*14)+K40</f>
        <v>419.9</v>
      </c>
      <c r="M39" s="272"/>
      <c r="N39" s="241"/>
      <c r="O39" s="274"/>
      <c r="P39" s="276">
        <v>115</v>
      </c>
      <c r="Q39" s="248">
        <v>45</v>
      </c>
      <c r="R39" s="248"/>
      <c r="S39" s="168">
        <f>L39+O39+P39+Q39+R39</f>
        <v>579.9</v>
      </c>
      <c r="T39" s="239">
        <v>5.2</v>
      </c>
      <c r="U39" s="250">
        <v>150</v>
      </c>
      <c r="V39" s="252">
        <f t="shared" si="24"/>
        <v>780</v>
      </c>
      <c r="W39" s="247">
        <f t="shared" si="53"/>
        <v>1359.9</v>
      </c>
      <c r="X39" s="166">
        <v>15</v>
      </c>
      <c r="Y39" s="168">
        <v>35</v>
      </c>
      <c r="Z39" s="168">
        <v>20</v>
      </c>
      <c r="AA39" s="203">
        <f>X39+Y39+Z39</f>
        <v>70</v>
      </c>
      <c r="AB39" s="187">
        <v>2300</v>
      </c>
      <c r="AC39" s="168">
        <f t="shared" si="27"/>
        <v>399.17355371900817</v>
      </c>
      <c r="AD39" s="189">
        <f>AB39-AC39</f>
        <v>1900.8264462809918</v>
      </c>
      <c r="AE39" s="190">
        <f>AD39-Z39-X39-W39-Y39</f>
        <v>470.92644628099174</v>
      </c>
      <c r="AF39" s="197">
        <f>AE39/AD39</f>
        <v>0.2477482608695652</v>
      </c>
      <c r="AG39" s="164"/>
      <c r="AH39" s="174">
        <f t="shared" si="7"/>
        <v>0.32934222412825492</v>
      </c>
      <c r="AJ39" s="195">
        <f>AL39*1.21</f>
        <v>2595.2685000000006</v>
      </c>
      <c r="AK39" s="180">
        <f>AJ39-AL39</f>
        <v>450.41850000000022</v>
      </c>
      <c r="AL39" s="170">
        <f>AM39*1.5</f>
        <v>2144.8500000000004</v>
      </c>
      <c r="AM39" s="172">
        <f>Z39+X39+W39+Y39</f>
        <v>1429.9</v>
      </c>
      <c r="AN39" s="174">
        <f>(AL39-AM39)/AM39</f>
        <v>0.50000000000000011</v>
      </c>
      <c r="AO39" s="304">
        <f>AL39-AD39</f>
        <v>244.02355371900853</v>
      </c>
    </row>
    <row r="40" spans="1:41" x14ac:dyDescent="0.3">
      <c r="A40" s="232"/>
      <c r="B40" s="280"/>
      <c r="C40" s="207"/>
      <c r="D40" s="169"/>
      <c r="E40" s="169"/>
      <c r="F40" s="169"/>
      <c r="G40" s="204"/>
      <c r="H40" s="34" t="s">
        <v>108</v>
      </c>
      <c r="I40" s="34"/>
      <c r="J40" s="34"/>
      <c r="K40" s="89">
        <v>240</v>
      </c>
      <c r="L40" s="218"/>
      <c r="M40" s="273"/>
      <c r="N40" s="242"/>
      <c r="O40" s="275"/>
      <c r="P40" s="277"/>
      <c r="Q40" s="249"/>
      <c r="R40" s="249"/>
      <c r="S40" s="169"/>
      <c r="T40" s="232"/>
      <c r="U40" s="251"/>
      <c r="V40" s="253"/>
      <c r="W40" s="247"/>
      <c r="X40" s="167"/>
      <c r="Y40" s="169"/>
      <c r="Z40" s="169"/>
      <c r="AA40" s="204"/>
      <c r="AB40" s="188"/>
      <c r="AC40" s="169"/>
      <c r="AD40" s="171"/>
      <c r="AE40" s="173"/>
      <c r="AF40" s="198"/>
      <c r="AG40" s="164"/>
      <c r="AH40" s="175"/>
      <c r="AJ40" s="194"/>
      <c r="AK40" s="169"/>
      <c r="AL40" s="171"/>
      <c r="AM40" s="190"/>
      <c r="AN40" s="175"/>
      <c r="AO40" s="305"/>
    </row>
    <row r="41" spans="1:41" x14ac:dyDescent="0.3">
      <c r="A41" s="10" t="s">
        <v>51</v>
      </c>
      <c r="B41" s="20" t="s">
        <v>28</v>
      </c>
      <c r="C41" s="13" t="s">
        <v>59</v>
      </c>
      <c r="D41" s="21">
        <v>30</v>
      </c>
      <c r="E41" s="11">
        <f>0.61/2</f>
        <v>0.30499999999999999</v>
      </c>
      <c r="F41" s="21">
        <f>D41*E41</f>
        <v>9.15</v>
      </c>
      <c r="G41" s="22">
        <v>25</v>
      </c>
      <c r="H41" s="51" t="s">
        <v>77</v>
      </c>
      <c r="I41" s="10"/>
      <c r="J41" s="10"/>
      <c r="K41" s="14">
        <v>11</v>
      </c>
      <c r="L41" s="33">
        <f>K41*6</f>
        <v>66</v>
      </c>
      <c r="M41" s="10"/>
      <c r="N41" s="10"/>
      <c r="O41" s="17"/>
      <c r="P41" s="58">
        <v>130</v>
      </c>
      <c r="Q41" s="50">
        <v>40</v>
      </c>
      <c r="R41" s="50"/>
      <c r="S41" s="48">
        <f>L41+P41+Q41+O41+R41</f>
        <v>236</v>
      </c>
      <c r="T41" s="10">
        <v>6.5</v>
      </c>
      <c r="U41" s="37">
        <v>150</v>
      </c>
      <c r="V41" s="55">
        <f t="shared" si="24"/>
        <v>975</v>
      </c>
      <c r="W41" s="63">
        <f>G41+L41+O41+R41+Q41+P41+V41</f>
        <v>1236</v>
      </c>
      <c r="X41" s="57">
        <v>15</v>
      </c>
      <c r="Y41" s="48">
        <v>20</v>
      </c>
      <c r="Z41" s="48">
        <v>20</v>
      </c>
      <c r="AA41" s="70">
        <f t="shared" ref="AA41" si="67">X41+Z41+Y41</f>
        <v>55</v>
      </c>
      <c r="AB41" s="124">
        <v>2050</v>
      </c>
      <c r="AC41" s="74">
        <f t="shared" si="27"/>
        <v>355.78512396694214</v>
      </c>
      <c r="AD41" s="81">
        <f t="shared" ref="AD41" si="68">AB41-AC41</f>
        <v>1694.2148760330579</v>
      </c>
      <c r="AE41" s="78">
        <f>AD41-Y41-X41-W41-Z41</f>
        <v>403.21487603305786</v>
      </c>
      <c r="AF41" s="85">
        <f t="shared" ref="AF41" si="69">AE41/AD41</f>
        <v>0.23799512195121952</v>
      </c>
      <c r="AG41" s="164"/>
      <c r="AH41" s="119">
        <f t="shared" si="7"/>
        <v>0.31232755695821679</v>
      </c>
      <c r="AJ41" s="121">
        <f t="shared" ref="AJ41" si="70">AL41*1.21</f>
        <v>2343.165</v>
      </c>
      <c r="AK41" s="74">
        <f t="shared" ref="AK41" si="71">AJ41-AL41</f>
        <v>406.66499999999996</v>
      </c>
      <c r="AL41" s="81">
        <f t="shared" ref="AL41" si="72">AM41*1.5</f>
        <v>1936.5</v>
      </c>
      <c r="AM41" s="78">
        <f>W41+X41+Y41+Z41</f>
        <v>1291</v>
      </c>
      <c r="AN41" s="119">
        <f t="shared" ref="AN41" si="73">(AL41-AM41)/AM41</f>
        <v>0.5</v>
      </c>
      <c r="AO41" s="302">
        <f>AL41-AD41</f>
        <v>242.28512396694214</v>
      </c>
    </row>
    <row r="42" spans="1:41" x14ac:dyDescent="0.3">
      <c r="A42" s="239" t="s">
        <v>51</v>
      </c>
      <c r="B42" s="278" t="s">
        <v>20</v>
      </c>
      <c r="C42" s="210" t="s">
        <v>39</v>
      </c>
      <c r="D42" s="168" t="s">
        <v>39</v>
      </c>
      <c r="E42" s="168" t="s">
        <v>39</v>
      </c>
      <c r="F42" s="168" t="s">
        <v>39</v>
      </c>
      <c r="G42" s="203"/>
      <c r="H42" s="45" t="s">
        <v>78</v>
      </c>
      <c r="I42" s="52"/>
      <c r="J42" s="52"/>
      <c r="K42" s="99">
        <v>11</v>
      </c>
      <c r="L42" s="217">
        <f>(K42*12)+K43</f>
        <v>287</v>
      </c>
      <c r="M42" s="266"/>
      <c r="N42" s="210"/>
      <c r="O42" s="263"/>
      <c r="P42" s="166">
        <v>110</v>
      </c>
      <c r="Q42" s="168">
        <v>30</v>
      </c>
      <c r="R42" s="168"/>
      <c r="S42" s="168">
        <f>L42+O42+P42+Q42+R42</f>
        <v>427</v>
      </c>
      <c r="T42" s="239">
        <v>3.5</v>
      </c>
      <c r="U42" s="257">
        <v>150</v>
      </c>
      <c r="V42" s="259">
        <f t="shared" si="24"/>
        <v>525</v>
      </c>
      <c r="W42" s="247">
        <f>G42+L42+O42+R42+Q42+P42+V42</f>
        <v>952</v>
      </c>
      <c r="X42" s="166">
        <v>15</v>
      </c>
      <c r="Y42" s="168">
        <v>20</v>
      </c>
      <c r="Z42" s="168">
        <v>20</v>
      </c>
      <c r="AA42" s="203">
        <f>X42+Y42+Z42</f>
        <v>55</v>
      </c>
      <c r="AB42" s="187">
        <v>1940</v>
      </c>
      <c r="AC42" s="168">
        <f t="shared" si="27"/>
        <v>336.6942148760329</v>
      </c>
      <c r="AD42" s="189">
        <f>AB42-AC42</f>
        <v>1603.3057851239671</v>
      </c>
      <c r="AE42" s="190">
        <f>AD42-Z42-X42-W42-Y42</f>
        <v>596.3057851239671</v>
      </c>
      <c r="AF42" s="197">
        <f>AE42/AD42</f>
        <v>0.3719226804123712</v>
      </c>
      <c r="AG42" s="164"/>
      <c r="AH42" s="174">
        <f t="shared" si="7"/>
        <v>0.5921606605004639</v>
      </c>
      <c r="AJ42" s="195">
        <f>AL42*1.21</f>
        <v>1827.7049999999999</v>
      </c>
      <c r="AK42" s="180">
        <f>AJ42-AL42</f>
        <v>317.20499999999993</v>
      </c>
      <c r="AL42" s="170">
        <f>AM42*1.5</f>
        <v>1510.5</v>
      </c>
      <c r="AM42" s="172">
        <f>Z42+X42+W42+Y42</f>
        <v>1007</v>
      </c>
      <c r="AN42" s="174">
        <f>(AL42-AM42)/AM42</f>
        <v>0.5</v>
      </c>
      <c r="AO42" s="300">
        <f>AL42-AD42</f>
        <v>-92.805785123967098</v>
      </c>
    </row>
    <row r="43" spans="1:41" x14ac:dyDescent="0.3">
      <c r="A43" s="232"/>
      <c r="B43" s="209"/>
      <c r="C43" s="207"/>
      <c r="D43" s="169"/>
      <c r="E43" s="169"/>
      <c r="F43" s="169"/>
      <c r="G43" s="204"/>
      <c r="H43" s="34" t="s">
        <v>79</v>
      </c>
      <c r="I43" s="53"/>
      <c r="J43" s="53"/>
      <c r="K43" s="89">
        <v>155</v>
      </c>
      <c r="L43" s="218"/>
      <c r="M43" s="268"/>
      <c r="N43" s="207"/>
      <c r="O43" s="265"/>
      <c r="P43" s="167"/>
      <c r="Q43" s="169"/>
      <c r="R43" s="169"/>
      <c r="S43" s="169"/>
      <c r="T43" s="232"/>
      <c r="U43" s="258"/>
      <c r="V43" s="260"/>
      <c r="W43" s="247"/>
      <c r="X43" s="167"/>
      <c r="Y43" s="169"/>
      <c r="Z43" s="169"/>
      <c r="AA43" s="204"/>
      <c r="AB43" s="188"/>
      <c r="AC43" s="169"/>
      <c r="AD43" s="171"/>
      <c r="AE43" s="173"/>
      <c r="AF43" s="198"/>
      <c r="AG43" s="164"/>
      <c r="AH43" s="175"/>
      <c r="AJ43" s="194"/>
      <c r="AK43" s="169"/>
      <c r="AL43" s="171"/>
      <c r="AM43" s="190"/>
      <c r="AN43" s="175"/>
      <c r="AO43" s="305"/>
    </row>
    <row r="44" spans="1:41" x14ac:dyDescent="0.3">
      <c r="A44" s="10" t="s">
        <v>51</v>
      </c>
      <c r="B44" s="105" t="s">
        <v>92</v>
      </c>
      <c r="C44" s="13" t="s">
        <v>94</v>
      </c>
      <c r="D44" s="21">
        <v>90</v>
      </c>
      <c r="E44" s="11">
        <v>0.56000000000000005</v>
      </c>
      <c r="F44" s="12">
        <f t="shared" ref="F44" si="74">D44*E44</f>
        <v>50.400000000000006</v>
      </c>
      <c r="G44" s="22">
        <v>65</v>
      </c>
      <c r="H44" s="95" t="s">
        <v>101</v>
      </c>
      <c r="I44" s="10"/>
      <c r="J44" s="10"/>
      <c r="K44" s="14">
        <v>5.5</v>
      </c>
      <c r="L44" s="33">
        <f>K44*32</f>
        <v>176</v>
      </c>
      <c r="M44" s="10"/>
      <c r="N44" s="10"/>
      <c r="O44" s="17"/>
      <c r="P44" s="58">
        <v>135</v>
      </c>
      <c r="Q44" s="50">
        <v>95</v>
      </c>
      <c r="R44" s="50"/>
      <c r="S44" s="48">
        <f t="shared" ref="S44:S49" si="75">L44+P44+Q44+O44+R44</f>
        <v>406</v>
      </c>
      <c r="T44" s="10">
        <v>4</v>
      </c>
      <c r="U44" s="37">
        <v>150</v>
      </c>
      <c r="V44" s="55">
        <f t="shared" si="24"/>
        <v>600</v>
      </c>
      <c r="W44" s="63">
        <f t="shared" ref="W44:W49" si="76">G44+L44+O44+R44+Q44+P44+V44</f>
        <v>1071</v>
      </c>
      <c r="X44" s="57">
        <v>15</v>
      </c>
      <c r="Y44" s="48">
        <v>20</v>
      </c>
      <c r="Z44" s="48">
        <v>20</v>
      </c>
      <c r="AA44" s="70">
        <f t="shared" ref="AA44:AA48" si="77">X44+Z44+Y44</f>
        <v>55</v>
      </c>
      <c r="AB44" s="73">
        <v>2100</v>
      </c>
      <c r="AC44" s="74">
        <f t="shared" si="27"/>
        <v>364.46280991735534</v>
      </c>
      <c r="AD44" s="81">
        <f t="shared" ref="AD44:AD45" si="78">AB44-AC44</f>
        <v>1735.5371900826447</v>
      </c>
      <c r="AE44" s="78">
        <f>AD44-Y44-X44-W44-Z44</f>
        <v>609.53719008264466</v>
      </c>
      <c r="AF44" s="85">
        <f t="shared" ref="AF44:AF45" si="79">AE44/AD44</f>
        <v>0.3512095238095238</v>
      </c>
      <c r="AG44" s="164"/>
      <c r="AH44" s="119">
        <f t="shared" si="7"/>
        <v>0.54132965371460451</v>
      </c>
      <c r="AJ44" s="121">
        <f t="shared" ref="AJ44" si="80">AL44*1.21</f>
        <v>2043.6899999999998</v>
      </c>
      <c r="AK44" s="74">
        <f t="shared" ref="AK44:AK48" si="81">AJ44-AL44</f>
        <v>354.68999999999983</v>
      </c>
      <c r="AL44" s="81">
        <f t="shared" ref="AL44:AL48" si="82">AM44*1.5</f>
        <v>1689</v>
      </c>
      <c r="AM44" s="78">
        <f>W44+X44+Y44+Z44</f>
        <v>1126</v>
      </c>
      <c r="AN44" s="119">
        <f t="shared" ref="AN44" si="83">(AL44-AM44)/AM44</f>
        <v>0.5</v>
      </c>
      <c r="AO44" s="302">
        <f>AL44-AD44</f>
        <v>-46.537190082644656</v>
      </c>
    </row>
    <row r="45" spans="1:41" x14ac:dyDescent="0.3">
      <c r="A45" s="10" t="s">
        <v>51</v>
      </c>
      <c r="B45" s="20" t="s">
        <v>88</v>
      </c>
      <c r="C45" s="13" t="s">
        <v>39</v>
      </c>
      <c r="D45" s="21" t="s">
        <v>39</v>
      </c>
      <c r="E45" s="21" t="s">
        <v>39</v>
      </c>
      <c r="F45" s="21" t="s">
        <v>39</v>
      </c>
      <c r="G45" s="43"/>
      <c r="H45" s="13" t="s">
        <v>102</v>
      </c>
      <c r="I45" s="10"/>
      <c r="J45" s="10"/>
      <c r="K45" s="96">
        <f>L45</f>
        <v>300</v>
      </c>
      <c r="L45" s="33">
        <v>300</v>
      </c>
      <c r="M45" s="10"/>
      <c r="N45" s="10"/>
      <c r="O45" s="17"/>
      <c r="P45" s="58">
        <v>165</v>
      </c>
      <c r="Q45" s="50">
        <v>20</v>
      </c>
      <c r="R45" s="50"/>
      <c r="S45" s="48">
        <f t="shared" si="75"/>
        <v>485</v>
      </c>
      <c r="T45" s="10">
        <v>5.6</v>
      </c>
      <c r="U45" s="37">
        <v>150</v>
      </c>
      <c r="V45" s="55">
        <f t="shared" si="24"/>
        <v>840</v>
      </c>
      <c r="W45" s="63">
        <f t="shared" si="76"/>
        <v>1325</v>
      </c>
      <c r="X45" s="57">
        <v>15</v>
      </c>
      <c r="Y45" s="48">
        <v>20</v>
      </c>
      <c r="Z45" s="48">
        <v>20</v>
      </c>
      <c r="AA45" s="70">
        <f t="shared" si="77"/>
        <v>55</v>
      </c>
      <c r="AB45" s="73">
        <v>2400</v>
      </c>
      <c r="AC45" s="74">
        <f t="shared" si="27"/>
        <v>416.52892561983458</v>
      </c>
      <c r="AD45" s="81">
        <f t="shared" si="78"/>
        <v>1983.4710743801654</v>
      </c>
      <c r="AE45" s="78">
        <f>AD45-Y45-X45-W45-Z45</f>
        <v>603.47107438016542</v>
      </c>
      <c r="AF45" s="85">
        <f t="shared" si="79"/>
        <v>0.30425000000000002</v>
      </c>
      <c r="AG45" s="164"/>
      <c r="AH45" s="119">
        <f t="shared" si="7"/>
        <v>0.43729787998562714</v>
      </c>
      <c r="AJ45" s="121">
        <f t="shared" ref="AJ45:AJ48" si="84">AL45*1.21</f>
        <v>2504.6999999999998</v>
      </c>
      <c r="AK45" s="74">
        <f t="shared" si="81"/>
        <v>434.69999999999982</v>
      </c>
      <c r="AL45" s="81">
        <f t="shared" si="82"/>
        <v>2070</v>
      </c>
      <c r="AM45" s="78">
        <f>W45+X45+Y45+Z45</f>
        <v>1380</v>
      </c>
      <c r="AN45" s="119">
        <f t="shared" ref="AN45:AN48" si="85">(AL45-AM45)/AM45</f>
        <v>0.5</v>
      </c>
      <c r="AO45" s="302">
        <f>AL45-AD45</f>
        <v>86.528925619834581</v>
      </c>
    </row>
    <row r="46" spans="1:41" x14ac:dyDescent="0.3">
      <c r="A46" s="10" t="s">
        <v>51</v>
      </c>
      <c r="B46" s="20" t="s">
        <v>142</v>
      </c>
      <c r="C46" s="13"/>
      <c r="D46" s="21" t="s">
        <v>39</v>
      </c>
      <c r="E46" s="21" t="s">
        <v>39</v>
      </c>
      <c r="F46" s="21" t="s">
        <v>39</v>
      </c>
      <c r="G46" s="43"/>
      <c r="H46" s="13" t="s">
        <v>117</v>
      </c>
      <c r="I46" s="10"/>
      <c r="J46" s="10"/>
      <c r="K46" s="96"/>
      <c r="L46" s="33"/>
      <c r="M46" s="10"/>
      <c r="N46" s="10"/>
      <c r="O46" s="17"/>
      <c r="P46" s="58">
        <v>215</v>
      </c>
      <c r="Q46" s="50"/>
      <c r="R46" s="50"/>
      <c r="S46" s="48">
        <f t="shared" si="75"/>
        <v>215</v>
      </c>
      <c r="T46" s="10">
        <v>2</v>
      </c>
      <c r="U46" s="37">
        <v>150</v>
      </c>
      <c r="V46" s="55">
        <f t="shared" ref="V46:V48" si="86">T46*U46</f>
        <v>300</v>
      </c>
      <c r="W46" s="63">
        <f t="shared" si="76"/>
        <v>515</v>
      </c>
      <c r="X46" s="57">
        <v>15</v>
      </c>
      <c r="Y46" s="48">
        <v>20</v>
      </c>
      <c r="Z46" s="48">
        <v>20</v>
      </c>
      <c r="AA46" s="70">
        <f t="shared" si="77"/>
        <v>55</v>
      </c>
      <c r="AB46" s="73">
        <v>1300</v>
      </c>
      <c r="AC46" s="74">
        <f t="shared" ref="AC46:AC48" si="87">AB46-(AB46/1.21)</f>
        <v>225.61983471074382</v>
      </c>
      <c r="AD46" s="81">
        <f t="shared" ref="AD46:AD48" si="88">AB46-AC46</f>
        <v>1074.3801652892562</v>
      </c>
      <c r="AE46" s="78">
        <f>AD46-Y46-X46-W46-Z46</f>
        <v>504.38016528925618</v>
      </c>
      <c r="AF46" s="85">
        <f t="shared" ref="AF46:AF48" si="89">AE46/AD46</f>
        <v>0.46946153846153843</v>
      </c>
      <c r="AG46" s="164"/>
      <c r="AH46" s="119">
        <f t="shared" si="7"/>
        <v>0.88487748296360735</v>
      </c>
      <c r="AJ46" s="121">
        <f t="shared" si="84"/>
        <v>1034.55</v>
      </c>
      <c r="AK46" s="74">
        <f t="shared" si="81"/>
        <v>179.54999999999995</v>
      </c>
      <c r="AL46" s="81">
        <f t="shared" si="82"/>
        <v>855</v>
      </c>
      <c r="AM46" s="78">
        <f>W46+X46+Y46+Z46</f>
        <v>570</v>
      </c>
      <c r="AN46" s="119">
        <f t="shared" si="85"/>
        <v>0.5</v>
      </c>
      <c r="AO46" s="301">
        <f>AL46-AD46</f>
        <v>-219.38016528925618</v>
      </c>
    </row>
    <row r="47" spans="1:41" x14ac:dyDescent="0.3">
      <c r="A47" s="10" t="s">
        <v>51</v>
      </c>
      <c r="B47" s="20" t="s">
        <v>140</v>
      </c>
      <c r="C47" s="13"/>
      <c r="D47" s="21" t="s">
        <v>39</v>
      </c>
      <c r="E47" s="21" t="s">
        <v>39</v>
      </c>
      <c r="F47" s="21" t="s">
        <v>39</v>
      </c>
      <c r="G47" s="43"/>
      <c r="H47" s="129" t="s">
        <v>118</v>
      </c>
      <c r="I47" s="134"/>
      <c r="J47" s="134"/>
      <c r="K47" s="135"/>
      <c r="L47" s="136"/>
      <c r="M47" s="10"/>
      <c r="N47" s="10"/>
      <c r="O47" s="17"/>
      <c r="P47" s="58">
        <v>256</v>
      </c>
      <c r="Q47" s="50"/>
      <c r="R47" s="50"/>
      <c r="S47" s="48">
        <f t="shared" si="75"/>
        <v>256</v>
      </c>
      <c r="T47" s="10">
        <v>1.6</v>
      </c>
      <c r="U47" s="37">
        <v>150</v>
      </c>
      <c r="V47" s="55">
        <f t="shared" si="86"/>
        <v>240</v>
      </c>
      <c r="W47" s="63">
        <f t="shared" si="76"/>
        <v>496</v>
      </c>
      <c r="X47" s="57">
        <v>15</v>
      </c>
      <c r="Y47" s="48">
        <v>20</v>
      </c>
      <c r="Z47" s="48">
        <v>20</v>
      </c>
      <c r="AA47" s="70">
        <f t="shared" si="77"/>
        <v>55</v>
      </c>
      <c r="AB47" s="73">
        <v>1200</v>
      </c>
      <c r="AC47" s="74">
        <f t="shared" si="87"/>
        <v>208.26446280991729</v>
      </c>
      <c r="AD47" s="81">
        <f t="shared" si="88"/>
        <v>991.73553719008271</v>
      </c>
      <c r="AE47" s="78">
        <f>AD47-Y47-X47-W47-Z47</f>
        <v>440.73553719008271</v>
      </c>
      <c r="AF47" s="85">
        <f t="shared" si="89"/>
        <v>0.44440833333333335</v>
      </c>
      <c r="AG47" s="164"/>
      <c r="AH47" s="119">
        <f t="shared" si="7"/>
        <v>0.79988300760450581</v>
      </c>
      <c r="AJ47" s="121">
        <f t="shared" si="84"/>
        <v>1000.0649999999999</v>
      </c>
      <c r="AK47" s="74">
        <f t="shared" si="81"/>
        <v>173.56499999999994</v>
      </c>
      <c r="AL47" s="81">
        <f t="shared" si="82"/>
        <v>826.5</v>
      </c>
      <c r="AM47" s="78">
        <f>W47+X47+Y47+Z47</f>
        <v>551</v>
      </c>
      <c r="AN47" s="119">
        <f t="shared" si="85"/>
        <v>0.5</v>
      </c>
      <c r="AO47" s="302">
        <f>AL47-AD47</f>
        <v>-165.23553719008271</v>
      </c>
    </row>
    <row r="48" spans="1:41" x14ac:dyDescent="0.3">
      <c r="A48" s="134" t="s">
        <v>51</v>
      </c>
      <c r="B48" s="131" t="s">
        <v>139</v>
      </c>
      <c r="C48" s="94" t="s">
        <v>39</v>
      </c>
      <c r="D48" s="21" t="s">
        <v>39</v>
      </c>
      <c r="E48" s="21" t="s">
        <v>39</v>
      </c>
      <c r="F48" s="21" t="s">
        <v>39</v>
      </c>
      <c r="G48" s="21"/>
      <c r="H48" s="94" t="s">
        <v>119</v>
      </c>
      <c r="I48" s="10"/>
      <c r="J48" s="10"/>
      <c r="K48" s="96"/>
      <c r="L48" s="33"/>
      <c r="M48" s="16"/>
      <c r="N48" s="10"/>
      <c r="O48" s="17"/>
      <c r="P48" s="58">
        <v>90</v>
      </c>
      <c r="Q48" s="50"/>
      <c r="R48" s="50"/>
      <c r="S48" s="50">
        <f t="shared" si="75"/>
        <v>90</v>
      </c>
      <c r="T48" s="10">
        <v>1.6</v>
      </c>
      <c r="U48" s="31">
        <v>150</v>
      </c>
      <c r="V48" s="138">
        <f t="shared" si="86"/>
        <v>240</v>
      </c>
      <c r="W48" s="63">
        <f t="shared" si="76"/>
        <v>330</v>
      </c>
      <c r="X48" s="57">
        <v>15</v>
      </c>
      <c r="Y48" s="48">
        <v>20</v>
      </c>
      <c r="Z48" s="48">
        <v>20</v>
      </c>
      <c r="AA48" s="70">
        <f t="shared" si="77"/>
        <v>55</v>
      </c>
      <c r="AB48" s="73">
        <v>800</v>
      </c>
      <c r="AC48" s="74">
        <f t="shared" si="87"/>
        <v>138.84297520661153</v>
      </c>
      <c r="AD48" s="81">
        <f t="shared" si="88"/>
        <v>661.15702479338847</v>
      </c>
      <c r="AE48" s="78">
        <f>AD48-Y48-X48-W48-Z48</f>
        <v>276.15702479338847</v>
      </c>
      <c r="AF48" s="85">
        <f t="shared" si="89"/>
        <v>0.41768750000000004</v>
      </c>
      <c r="AG48" s="164"/>
      <c r="AH48" s="119">
        <f t="shared" si="7"/>
        <v>0.71729097348932069</v>
      </c>
      <c r="AJ48" s="121">
        <f t="shared" si="84"/>
        <v>698.77499999999998</v>
      </c>
      <c r="AK48" s="74">
        <f t="shared" si="81"/>
        <v>121.27499999999998</v>
      </c>
      <c r="AL48" s="81">
        <f t="shared" si="82"/>
        <v>577.5</v>
      </c>
      <c r="AM48" s="78">
        <f>W48+X48+Y48+Z48</f>
        <v>385</v>
      </c>
      <c r="AN48" s="119">
        <f t="shared" si="85"/>
        <v>0.5</v>
      </c>
      <c r="AO48" s="301">
        <f>AL48-AD48</f>
        <v>-83.657024793388473</v>
      </c>
    </row>
    <row r="49" spans="1:41" x14ac:dyDescent="0.3">
      <c r="A49" s="266" t="s">
        <v>51</v>
      </c>
      <c r="B49" s="263" t="s">
        <v>112</v>
      </c>
      <c r="C49" s="266" t="s">
        <v>113</v>
      </c>
      <c r="D49" s="125"/>
      <c r="E49" s="125"/>
      <c r="F49" s="125"/>
      <c r="G49" s="216">
        <v>45</v>
      </c>
      <c r="H49" s="127" t="s">
        <v>114</v>
      </c>
      <c r="I49" s="139"/>
      <c r="J49" s="139"/>
      <c r="K49" s="269"/>
      <c r="L49" s="217"/>
      <c r="M49" s="266"/>
      <c r="N49" s="210"/>
      <c r="O49" s="263"/>
      <c r="P49" s="166">
        <v>480</v>
      </c>
      <c r="Q49" s="168"/>
      <c r="R49" s="168"/>
      <c r="S49" s="168">
        <f t="shared" si="75"/>
        <v>480</v>
      </c>
      <c r="T49" s="210">
        <v>4</v>
      </c>
      <c r="U49" s="257">
        <v>150</v>
      </c>
      <c r="V49" s="282">
        <f t="shared" ref="V49" si="90">T49*U49</f>
        <v>600</v>
      </c>
      <c r="W49" s="285">
        <f t="shared" si="76"/>
        <v>1125</v>
      </c>
      <c r="X49" s="166">
        <v>15</v>
      </c>
      <c r="Y49" s="168">
        <v>35</v>
      </c>
      <c r="Z49" s="168">
        <v>20</v>
      </c>
      <c r="AA49" s="203">
        <f>X49+Z49+Y49</f>
        <v>70</v>
      </c>
      <c r="AB49" s="166">
        <v>2650</v>
      </c>
      <c r="AC49" s="168">
        <f t="shared" ref="AC49" si="91">AB49-(AB49/1.21)</f>
        <v>459.91735537190061</v>
      </c>
      <c r="AD49" s="181">
        <f t="shared" ref="AD49" si="92">AB49-AC49</f>
        <v>2190.0826446280994</v>
      </c>
      <c r="AE49" s="184">
        <f>AD49-Y49-X49-W49-Z49</f>
        <v>995.08264462809939</v>
      </c>
      <c r="AF49" s="287">
        <f t="shared" ref="AF49" si="93">AE49/AD49</f>
        <v>0.45435849056603778</v>
      </c>
      <c r="AG49" s="162"/>
      <c r="AH49" s="174">
        <f t="shared" si="7"/>
        <v>0.83270514194820033</v>
      </c>
      <c r="AJ49" s="166">
        <f>AL49*1.21</f>
        <v>2168.9249999999997</v>
      </c>
      <c r="AK49" s="168">
        <f>AJ49-AL49</f>
        <v>376.42499999999973</v>
      </c>
      <c r="AL49" s="181">
        <f>AM49*1.5</f>
        <v>1792.5</v>
      </c>
      <c r="AM49" s="184">
        <f>W49+X49+Y49+Z49</f>
        <v>1195</v>
      </c>
      <c r="AN49" s="176">
        <f>(AL49-AM49)/AM49</f>
        <v>0.5</v>
      </c>
      <c r="AO49" s="304">
        <f>AL49-AD49</f>
        <v>-397.58264462809939</v>
      </c>
    </row>
    <row r="50" spans="1:41" x14ac:dyDescent="0.3">
      <c r="A50" s="267"/>
      <c r="B50" s="264"/>
      <c r="C50" s="267"/>
      <c r="D50" s="133"/>
      <c r="E50" s="133"/>
      <c r="F50" s="133"/>
      <c r="G50" s="214"/>
      <c r="H50" s="140" t="s">
        <v>115</v>
      </c>
      <c r="I50" s="133"/>
      <c r="J50" s="133"/>
      <c r="K50" s="270"/>
      <c r="L50" s="245"/>
      <c r="M50" s="267"/>
      <c r="N50" s="206"/>
      <c r="O50" s="264"/>
      <c r="P50" s="179"/>
      <c r="Q50" s="180"/>
      <c r="R50" s="180"/>
      <c r="S50" s="180"/>
      <c r="T50" s="206"/>
      <c r="U50" s="281"/>
      <c r="V50" s="283"/>
      <c r="W50" s="286"/>
      <c r="X50" s="179"/>
      <c r="Y50" s="180"/>
      <c r="Z50" s="180"/>
      <c r="AA50" s="205"/>
      <c r="AB50" s="179"/>
      <c r="AC50" s="180"/>
      <c r="AD50" s="182"/>
      <c r="AE50" s="185"/>
      <c r="AF50" s="288"/>
      <c r="AG50" s="162"/>
      <c r="AH50" s="200"/>
      <c r="AJ50" s="179"/>
      <c r="AK50" s="180"/>
      <c r="AL50" s="182"/>
      <c r="AM50" s="185"/>
      <c r="AN50" s="177"/>
      <c r="AO50" s="300"/>
    </row>
    <row r="51" spans="1:41" x14ac:dyDescent="0.3">
      <c r="A51" s="268"/>
      <c r="B51" s="265"/>
      <c r="C51" s="268"/>
      <c r="D51" s="126"/>
      <c r="E51" s="126"/>
      <c r="F51" s="126"/>
      <c r="G51" s="215"/>
      <c r="H51" s="128" t="s">
        <v>116</v>
      </c>
      <c r="I51" s="126"/>
      <c r="J51" s="126"/>
      <c r="K51" s="271"/>
      <c r="L51" s="218"/>
      <c r="M51" s="268"/>
      <c r="N51" s="207"/>
      <c r="O51" s="265"/>
      <c r="P51" s="167"/>
      <c r="Q51" s="169"/>
      <c r="R51" s="169"/>
      <c r="S51" s="169"/>
      <c r="T51" s="207"/>
      <c r="U51" s="258"/>
      <c r="V51" s="284"/>
      <c r="W51" s="254"/>
      <c r="X51" s="167"/>
      <c r="Y51" s="169"/>
      <c r="Z51" s="169"/>
      <c r="AA51" s="204"/>
      <c r="AB51" s="167"/>
      <c r="AC51" s="169"/>
      <c r="AD51" s="183"/>
      <c r="AE51" s="186"/>
      <c r="AF51" s="289"/>
      <c r="AG51" s="162"/>
      <c r="AH51" s="175"/>
      <c r="AJ51" s="167"/>
      <c r="AK51" s="169"/>
      <c r="AL51" s="183"/>
      <c r="AM51" s="186"/>
      <c r="AN51" s="178"/>
      <c r="AO51" s="305"/>
    </row>
    <row r="52" spans="1:41" x14ac:dyDescent="0.3">
      <c r="A52" s="290" t="s">
        <v>51</v>
      </c>
      <c r="B52" s="292" t="s">
        <v>141</v>
      </c>
      <c r="C52" s="132"/>
      <c r="D52" s="125"/>
      <c r="E52" s="125"/>
      <c r="F52" s="125"/>
      <c r="G52" s="263"/>
      <c r="H52" s="127" t="s">
        <v>121</v>
      </c>
      <c r="I52" s="125"/>
      <c r="J52" s="125"/>
      <c r="K52" s="125"/>
      <c r="L52" s="263"/>
      <c r="M52" s="132"/>
      <c r="N52" s="125"/>
      <c r="O52" s="263"/>
      <c r="P52" s="170">
        <v>745</v>
      </c>
      <c r="Q52" s="210"/>
      <c r="R52" s="210"/>
      <c r="S52" s="170">
        <f t="shared" ref="S52" si="94">L52+P52+Q52+O52+R52</f>
        <v>745</v>
      </c>
      <c r="T52" s="294">
        <v>2.5</v>
      </c>
      <c r="U52" s="296">
        <v>150</v>
      </c>
      <c r="V52" s="181">
        <f t="shared" ref="V52" si="95">T52*U52</f>
        <v>375</v>
      </c>
      <c r="W52" s="247">
        <f>G52+L52+O52+R52+Q52+P52+V52</f>
        <v>1120</v>
      </c>
      <c r="X52" s="166">
        <v>15</v>
      </c>
      <c r="Y52" s="168">
        <v>20</v>
      </c>
      <c r="Z52" s="168">
        <v>20</v>
      </c>
      <c r="AA52" s="203">
        <f>X52+Z52+Y52</f>
        <v>55</v>
      </c>
      <c r="AB52" s="166">
        <v>2700</v>
      </c>
      <c r="AC52" s="168">
        <f t="shared" ref="AC52" si="96">AB52-(AB52/1.21)</f>
        <v>468.59504132231405</v>
      </c>
      <c r="AD52" s="189">
        <f>AB52-AC52</f>
        <v>2231.404958677686</v>
      </c>
      <c r="AE52" s="190">
        <f>AD52-Z52-X52-W52-Y52</f>
        <v>1056.404958677686</v>
      </c>
      <c r="AF52" s="287">
        <f>AE52/AD52</f>
        <v>0.47342592592592592</v>
      </c>
      <c r="AG52" s="162"/>
      <c r="AH52" s="174">
        <f t="shared" si="7"/>
        <v>0.89906804993845613</v>
      </c>
      <c r="AJ52" s="195">
        <f>AL52*1.21</f>
        <v>2132.625</v>
      </c>
      <c r="AK52" s="180">
        <f>AJ52-AL52</f>
        <v>370.125</v>
      </c>
      <c r="AL52" s="170">
        <f>AM52*1.5</f>
        <v>1762.5</v>
      </c>
      <c r="AM52" s="172">
        <f>Z52+X52+W52+Y52</f>
        <v>1175</v>
      </c>
      <c r="AN52" s="174">
        <f>(AL52-AM52)/AM52</f>
        <v>0.5</v>
      </c>
      <c r="AO52" s="300">
        <f>AL52-AD52</f>
        <v>-468.90495867768595</v>
      </c>
    </row>
    <row r="53" spans="1:41" x14ac:dyDescent="0.3">
      <c r="A53" s="291"/>
      <c r="B53" s="293"/>
      <c r="C53" s="130"/>
      <c r="D53" s="126"/>
      <c r="E53" s="126"/>
      <c r="F53" s="126"/>
      <c r="G53" s="265"/>
      <c r="H53" s="128" t="s">
        <v>120</v>
      </c>
      <c r="I53" s="126"/>
      <c r="J53" s="126"/>
      <c r="K53" s="126"/>
      <c r="L53" s="265"/>
      <c r="M53" s="130"/>
      <c r="N53" s="126"/>
      <c r="O53" s="265"/>
      <c r="P53" s="171"/>
      <c r="Q53" s="207"/>
      <c r="R53" s="207"/>
      <c r="S53" s="171"/>
      <c r="T53" s="295"/>
      <c r="U53" s="297"/>
      <c r="V53" s="183"/>
      <c r="W53" s="247"/>
      <c r="X53" s="167"/>
      <c r="Y53" s="169"/>
      <c r="Z53" s="169"/>
      <c r="AA53" s="204"/>
      <c r="AB53" s="179"/>
      <c r="AC53" s="169"/>
      <c r="AD53" s="171"/>
      <c r="AE53" s="173"/>
      <c r="AF53" s="289"/>
      <c r="AG53" s="162"/>
      <c r="AH53" s="175"/>
      <c r="AJ53" s="194"/>
      <c r="AK53" s="169"/>
      <c r="AL53" s="171"/>
      <c r="AM53" s="190"/>
      <c r="AN53" s="175"/>
      <c r="AO53" s="305"/>
    </row>
    <row r="54" spans="1:41" x14ac:dyDescent="0.3">
      <c r="A54" s="266" t="s">
        <v>51</v>
      </c>
      <c r="B54" s="263" t="s">
        <v>122</v>
      </c>
      <c r="C54" s="141"/>
      <c r="D54" s="134"/>
      <c r="E54" s="134"/>
      <c r="F54" s="134"/>
      <c r="G54" s="116"/>
      <c r="H54" s="127" t="s">
        <v>123</v>
      </c>
      <c r="I54" s="134"/>
      <c r="J54" s="134"/>
      <c r="K54" s="134"/>
      <c r="L54" s="217">
        <v>1200</v>
      </c>
      <c r="M54" s="117"/>
      <c r="N54" s="6"/>
      <c r="O54" s="274"/>
      <c r="P54" s="170">
        <v>195</v>
      </c>
      <c r="Q54" s="241"/>
      <c r="R54" s="241"/>
      <c r="S54" s="170">
        <f t="shared" ref="S54" si="97">L54+P54+Q54+O54+R54</f>
        <v>1395</v>
      </c>
      <c r="T54" s="294">
        <v>4</v>
      </c>
      <c r="U54" s="296">
        <v>150</v>
      </c>
      <c r="V54" s="181">
        <f t="shared" ref="V54" si="98">T54*U54</f>
        <v>600</v>
      </c>
      <c r="W54" s="247">
        <f>G54+L54+O54+R54+Q54+P54+V54</f>
        <v>1995</v>
      </c>
      <c r="X54" s="166">
        <v>15</v>
      </c>
      <c r="Y54" s="168">
        <v>20</v>
      </c>
      <c r="Z54" s="168">
        <v>20</v>
      </c>
      <c r="AA54" s="203">
        <f>X54+Z54+Y54</f>
        <v>55</v>
      </c>
      <c r="AB54" s="166">
        <v>3950</v>
      </c>
      <c r="AC54" s="168">
        <f t="shared" ref="AC54" si="99">AB54-(AB54/1.21)</f>
        <v>685.53719008264443</v>
      </c>
      <c r="AD54" s="170">
        <f>AB54-AC54</f>
        <v>3264.4628099173556</v>
      </c>
      <c r="AE54" s="172">
        <f>AD54-Z54-X54-W54-Y54</f>
        <v>1214.4628099173556</v>
      </c>
      <c r="AF54" s="287">
        <f>AE54/AD54</f>
        <v>0.37202531645569625</v>
      </c>
      <c r="AG54" s="162"/>
      <c r="AH54" s="174">
        <f t="shared" si="7"/>
        <v>0.59242088288651495</v>
      </c>
      <c r="AJ54" s="195">
        <f>AL54*1.21</f>
        <v>3720.75</v>
      </c>
      <c r="AK54" s="180">
        <f>AJ54-AL54</f>
        <v>645.75</v>
      </c>
      <c r="AL54" s="170">
        <f>AM54*1.5</f>
        <v>3075</v>
      </c>
      <c r="AM54" s="172">
        <f>Z54+X54+W54+Y54</f>
        <v>2050</v>
      </c>
      <c r="AN54" s="174">
        <f>(AL54-AM54)/AM54</f>
        <v>0.5</v>
      </c>
      <c r="AO54" s="300">
        <f>AL54-AD54</f>
        <v>-189.46280991735557</v>
      </c>
    </row>
    <row r="55" spans="1:41" x14ac:dyDescent="0.3">
      <c r="A55" s="268"/>
      <c r="B55" s="265"/>
      <c r="C55" s="137"/>
      <c r="D55" s="18"/>
      <c r="E55" s="18"/>
      <c r="F55" s="18"/>
      <c r="G55" s="19"/>
      <c r="H55" s="142" t="s">
        <v>124</v>
      </c>
      <c r="I55" s="18"/>
      <c r="J55" s="18"/>
      <c r="K55" s="18"/>
      <c r="L55" s="218"/>
      <c r="M55" s="137"/>
      <c r="N55" s="18"/>
      <c r="O55" s="275"/>
      <c r="P55" s="171"/>
      <c r="Q55" s="242"/>
      <c r="R55" s="242"/>
      <c r="S55" s="171"/>
      <c r="T55" s="295"/>
      <c r="U55" s="297"/>
      <c r="V55" s="183"/>
      <c r="W55" s="247"/>
      <c r="X55" s="167"/>
      <c r="Y55" s="169"/>
      <c r="Z55" s="169"/>
      <c r="AA55" s="204"/>
      <c r="AB55" s="167"/>
      <c r="AC55" s="169"/>
      <c r="AD55" s="171"/>
      <c r="AE55" s="173"/>
      <c r="AF55" s="289"/>
      <c r="AG55" s="162"/>
      <c r="AH55" s="175"/>
      <c r="AJ55" s="194"/>
      <c r="AK55" s="169"/>
      <c r="AL55" s="171"/>
      <c r="AM55" s="173"/>
      <c r="AN55" s="175"/>
      <c r="AO55" s="305"/>
    </row>
    <row r="59" spans="1:41" x14ac:dyDescent="0.3">
      <c r="AF59" s="108">
        <f>GEOMEAN(AF3:AF55)</f>
        <v>0.35173337271630217</v>
      </c>
      <c r="AG59" s="108"/>
      <c r="AH59" s="108">
        <f>GEOMEAN(AH3:AH55)</f>
        <v>0.5644528765775898</v>
      </c>
      <c r="AN59" s="108">
        <f>GEOMEAN(AN3:AN55)</f>
        <v>0.5</v>
      </c>
    </row>
  </sheetData>
  <mergeCells count="305">
    <mergeCell ref="AH42:AH43"/>
    <mergeCell ref="AH49:AH51"/>
    <mergeCell ref="AH52:AH53"/>
    <mergeCell ref="AM54:AM55"/>
    <mergeCell ref="L54:L55"/>
    <mergeCell ref="O54:O55"/>
    <mergeCell ref="AA54:AA55"/>
    <mergeCell ref="AB54:AB55"/>
    <mergeCell ref="AC54:AC55"/>
    <mergeCell ref="AD54:AD55"/>
    <mergeCell ref="AF54:AF55"/>
    <mergeCell ref="AE54:AE55"/>
    <mergeCell ref="AJ54:AJ55"/>
    <mergeCell ref="AK54:AK55"/>
    <mergeCell ref="AL54:AL55"/>
    <mergeCell ref="S54:S55"/>
    <mergeCell ref="T54:T55"/>
    <mergeCell ref="U54:U55"/>
    <mergeCell ref="V54:V55"/>
    <mergeCell ref="W54:W55"/>
    <mergeCell ref="X54:X55"/>
    <mergeCell ref="Y54:Y55"/>
    <mergeCell ref="Z54:Z55"/>
    <mergeCell ref="P52:P53"/>
    <mergeCell ref="Q52:Q53"/>
    <mergeCell ref="R52:R53"/>
    <mergeCell ref="O52:O53"/>
    <mergeCell ref="L52:L53"/>
    <mergeCell ref="G52:G53"/>
    <mergeCell ref="A54:A55"/>
    <mergeCell ref="B54:B55"/>
    <mergeCell ref="P54:P55"/>
    <mergeCell ref="Q54:Q55"/>
    <mergeCell ref="R54:R55"/>
    <mergeCell ref="A52:A53"/>
    <mergeCell ref="B52:B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J52:AJ53"/>
    <mergeCell ref="AK52:AK53"/>
    <mergeCell ref="AL52:AL53"/>
    <mergeCell ref="AM52:AM53"/>
    <mergeCell ref="AB49:AB51"/>
    <mergeCell ref="AC49:AC51"/>
    <mergeCell ref="AD49:AD51"/>
    <mergeCell ref="M49:O51"/>
    <mergeCell ref="Q49:Q51"/>
    <mergeCell ref="R49:R51"/>
    <mergeCell ref="AE49:AE51"/>
    <mergeCell ref="AF49:AF51"/>
    <mergeCell ref="T49:T51"/>
    <mergeCell ref="U49:U51"/>
    <mergeCell ref="V49:V51"/>
    <mergeCell ref="W49:W51"/>
    <mergeCell ref="X49:X51"/>
    <mergeCell ref="Y49:Y51"/>
    <mergeCell ref="Z49:Z51"/>
    <mergeCell ref="AA49:AA51"/>
    <mergeCell ref="M32:M33"/>
    <mergeCell ref="N32:N33"/>
    <mergeCell ref="O32:O33"/>
    <mergeCell ref="P32:P33"/>
    <mergeCell ref="R32:R33"/>
    <mergeCell ref="A32:A33"/>
    <mergeCell ref="W42:W43"/>
    <mergeCell ref="T42:T43"/>
    <mergeCell ref="U42:U43"/>
    <mergeCell ref="V42:V43"/>
    <mergeCell ref="S42:S43"/>
    <mergeCell ref="M42:M43"/>
    <mergeCell ref="N42:N43"/>
    <mergeCell ref="O42:O43"/>
    <mergeCell ref="P42:P43"/>
    <mergeCell ref="Q42:Q43"/>
    <mergeCell ref="R42:R43"/>
    <mergeCell ref="Q32:Q33"/>
    <mergeCell ref="E39:E40"/>
    <mergeCell ref="B32:B33"/>
    <mergeCell ref="C32:C33"/>
    <mergeCell ref="L42:L43"/>
    <mergeCell ref="G32:G33"/>
    <mergeCell ref="B49:B51"/>
    <mergeCell ref="A49:A51"/>
    <mergeCell ref="L49:L51"/>
    <mergeCell ref="K49:K51"/>
    <mergeCell ref="C49:C51"/>
    <mergeCell ref="G49:G51"/>
    <mergeCell ref="P49:P51"/>
    <mergeCell ref="S49:S51"/>
    <mergeCell ref="M39:M40"/>
    <mergeCell ref="O39:O40"/>
    <mergeCell ref="N39:N40"/>
    <mergeCell ref="P39:P40"/>
    <mergeCell ref="Q39:Q40"/>
    <mergeCell ref="A39:A40"/>
    <mergeCell ref="A42:A43"/>
    <mergeCell ref="B42:B43"/>
    <mergeCell ref="C42:C43"/>
    <mergeCell ref="D42:D43"/>
    <mergeCell ref="E42:E43"/>
    <mergeCell ref="F42:F43"/>
    <mergeCell ref="B39:B40"/>
    <mergeCell ref="C39:C40"/>
    <mergeCell ref="D39:D40"/>
    <mergeCell ref="F39:F40"/>
    <mergeCell ref="Q27:Q28"/>
    <mergeCell ref="R27:R28"/>
    <mergeCell ref="T27:T28"/>
    <mergeCell ref="U27:U28"/>
    <mergeCell ref="V27:V28"/>
    <mergeCell ref="P27:P28"/>
    <mergeCell ref="T32:T33"/>
    <mergeCell ref="U32:U33"/>
    <mergeCell ref="V32:V33"/>
    <mergeCell ref="W19:W20"/>
    <mergeCell ref="R39:R40"/>
    <mergeCell ref="U39:U40"/>
    <mergeCell ref="V39:V40"/>
    <mergeCell ref="W25:W26"/>
    <mergeCell ref="W32:W33"/>
    <mergeCell ref="W39:W40"/>
    <mergeCell ref="V25:V26"/>
    <mergeCell ref="T25:T26"/>
    <mergeCell ref="U25:U26"/>
    <mergeCell ref="S25:S26"/>
    <mergeCell ref="S19:S20"/>
    <mergeCell ref="S39:S40"/>
    <mergeCell ref="S27:S28"/>
    <mergeCell ref="S32:S33"/>
    <mergeCell ref="W27:W28"/>
    <mergeCell ref="T39:T40"/>
    <mergeCell ref="T19:T20"/>
    <mergeCell ref="U19:U20"/>
    <mergeCell ref="V19:V20"/>
    <mergeCell ref="R19:R20"/>
    <mergeCell ref="H25:H26"/>
    <mergeCell ref="K25:K26"/>
    <mergeCell ref="L25:L26"/>
    <mergeCell ref="H27:H28"/>
    <mergeCell ref="L27:L28"/>
    <mergeCell ref="K27:K28"/>
    <mergeCell ref="G42:G43"/>
    <mergeCell ref="G39:G40"/>
    <mergeCell ref="L39:L40"/>
    <mergeCell ref="J27:J28"/>
    <mergeCell ref="I25:I26"/>
    <mergeCell ref="L19:L20"/>
    <mergeCell ref="O25:O26"/>
    <mergeCell ref="Q25:Q26"/>
    <mergeCell ref="P1:V1"/>
    <mergeCell ref="L32:L33"/>
    <mergeCell ref="O19:O20"/>
    <mergeCell ref="M25:M26"/>
    <mergeCell ref="N25:N26"/>
    <mergeCell ref="D32:D33"/>
    <mergeCell ref="E32:E33"/>
    <mergeCell ref="F32:F33"/>
    <mergeCell ref="P25:P26"/>
    <mergeCell ref="M1:O1"/>
    <mergeCell ref="M19:M20"/>
    <mergeCell ref="H1:L1"/>
    <mergeCell ref="J25:J26"/>
    <mergeCell ref="M27:M28"/>
    <mergeCell ref="N27:N28"/>
    <mergeCell ref="O27:O28"/>
    <mergeCell ref="I27:I28"/>
    <mergeCell ref="Q19:Q20"/>
    <mergeCell ref="P19:P20"/>
    <mergeCell ref="N19:N20"/>
    <mergeCell ref="R25:R26"/>
    <mergeCell ref="A25:A26"/>
    <mergeCell ref="B25:B26"/>
    <mergeCell ref="A27:A28"/>
    <mergeCell ref="B27:B28"/>
    <mergeCell ref="A19:A20"/>
    <mergeCell ref="B19:B20"/>
    <mergeCell ref="C19:C20"/>
    <mergeCell ref="A1:B1"/>
    <mergeCell ref="C1:G1"/>
    <mergeCell ref="G25:G26"/>
    <mergeCell ref="G27:G28"/>
    <mergeCell ref="D19:D20"/>
    <mergeCell ref="E19:E20"/>
    <mergeCell ref="F19:F20"/>
    <mergeCell ref="G19:G20"/>
    <mergeCell ref="X1:AA1"/>
    <mergeCell ref="X19:X20"/>
    <mergeCell ref="X25:X26"/>
    <mergeCell ref="AF25:AF26"/>
    <mergeCell ref="AF19:AF20"/>
    <mergeCell ref="AA32:AA33"/>
    <mergeCell ref="AA39:AA40"/>
    <mergeCell ref="AA42:AA43"/>
    <mergeCell ref="AA25:AA26"/>
    <mergeCell ref="AA27:AA28"/>
    <mergeCell ref="AA19:AA20"/>
    <mergeCell ref="Z19:Z20"/>
    <mergeCell ref="Y19:Y20"/>
    <mergeCell ref="Y25:Y26"/>
    <mergeCell ref="Z25:Z26"/>
    <mergeCell ref="X42:X43"/>
    <mergeCell ref="Y42:Y43"/>
    <mergeCell ref="Z42:Z43"/>
    <mergeCell ref="X39:X40"/>
    <mergeCell ref="Y39:Y40"/>
    <mergeCell ref="Z39:Z40"/>
    <mergeCell ref="AB1:AF1"/>
    <mergeCell ref="AB19:AB20"/>
    <mergeCell ref="AC19:AC20"/>
    <mergeCell ref="AB27:AB28"/>
    <mergeCell ref="AC27:AC28"/>
    <mergeCell ref="AD27:AD28"/>
    <mergeCell ref="AD19:AD20"/>
    <mergeCell ref="X27:X28"/>
    <mergeCell ref="Y27:Y28"/>
    <mergeCell ref="Z27:Z28"/>
    <mergeCell ref="X32:X33"/>
    <mergeCell ref="Y32:Y33"/>
    <mergeCell ref="Z32:Z33"/>
    <mergeCell ref="AB42:AB43"/>
    <mergeCell ref="AC42:AC43"/>
    <mergeCell ref="AD42:AD43"/>
    <mergeCell ref="AB25:AB26"/>
    <mergeCell ref="AC25:AC26"/>
    <mergeCell ref="AD25:AD26"/>
    <mergeCell ref="AB32:AB33"/>
    <mergeCell ref="AC32:AC33"/>
    <mergeCell ref="AD32:AD33"/>
    <mergeCell ref="AB39:AB40"/>
    <mergeCell ref="AC39:AC40"/>
    <mergeCell ref="AD39:AD40"/>
    <mergeCell ref="AF42:AF43"/>
    <mergeCell ref="AF39:AF40"/>
    <mergeCell ref="AF32:AF33"/>
    <mergeCell ref="AF27:AF28"/>
    <mergeCell ref="AM25:AM26"/>
    <mergeCell ref="AM27:AM28"/>
    <mergeCell ref="AM32:AM33"/>
    <mergeCell ref="AM39:AM40"/>
    <mergeCell ref="AM42:AM43"/>
    <mergeCell ref="AE42:AE43"/>
    <mergeCell ref="AE39:AE40"/>
    <mergeCell ref="AE32:AE33"/>
    <mergeCell ref="AE25:AE26"/>
    <mergeCell ref="AE27:AE28"/>
    <mergeCell ref="AE19:AE20"/>
    <mergeCell ref="AL19:AL20"/>
    <mergeCell ref="AL25:AL26"/>
    <mergeCell ref="AL27:AL28"/>
    <mergeCell ref="AL32:AL33"/>
    <mergeCell ref="AL39:AL40"/>
    <mergeCell ref="AL42:AL43"/>
    <mergeCell ref="AH19:AH20"/>
    <mergeCell ref="AH25:AH26"/>
    <mergeCell ref="AH27:AH28"/>
    <mergeCell ref="AH32:AH33"/>
    <mergeCell ref="AH39:AH40"/>
    <mergeCell ref="AJ27:AJ28"/>
    <mergeCell ref="AK27:AK28"/>
    <mergeCell ref="AJ32:AJ33"/>
    <mergeCell ref="AK32:AK33"/>
    <mergeCell ref="AJ19:AJ20"/>
    <mergeCell ref="AK19:AK20"/>
    <mergeCell ref="AM19:AM20"/>
    <mergeCell ref="AJ25:AJ26"/>
    <mergeCell ref="AK25:AK26"/>
    <mergeCell ref="AL49:AL51"/>
    <mergeCell ref="AM49:AM51"/>
    <mergeCell ref="AJ39:AJ40"/>
    <mergeCell ref="AK39:AK40"/>
    <mergeCell ref="AJ42:AJ43"/>
    <mergeCell ref="AK42:AK43"/>
    <mergeCell ref="AH54:AH55"/>
    <mergeCell ref="AO19:AO20"/>
    <mergeCell ref="AN19:AN20"/>
    <mergeCell ref="AN25:AN26"/>
    <mergeCell ref="AN27:AN28"/>
    <mergeCell ref="AN32:AN33"/>
    <mergeCell ref="AN39:AN40"/>
    <mergeCell ref="AN42:AN43"/>
    <mergeCell ref="AN49:AN51"/>
    <mergeCell ref="AN52:AN53"/>
    <mergeCell ref="AN54:AN55"/>
    <mergeCell ref="AO25:AO26"/>
    <mergeCell ref="AO27:AO28"/>
    <mergeCell ref="AO32:AO33"/>
    <mergeCell ref="AO39:AO40"/>
    <mergeCell ref="AO42:AO43"/>
    <mergeCell ref="AO49:AO51"/>
    <mergeCell ref="AO52:AO53"/>
    <mergeCell ref="AO54:AO55"/>
    <mergeCell ref="AJ49:AJ51"/>
    <mergeCell ref="AK49:AK51"/>
  </mergeCells>
  <conditionalFormatting sqref="AF31:AG31">
    <cfRule type="cellIs" dxfId="192" priority="219" operator="lessThan">
      <formula>0.5</formula>
    </cfRule>
  </conditionalFormatting>
  <conditionalFormatting sqref="AF45:AG45 AF15:AG17">
    <cfRule type="cellIs" dxfId="191" priority="214" operator="lessThan">
      <formula>0.4</formula>
    </cfRule>
  </conditionalFormatting>
  <conditionalFormatting sqref="AF44:AG44">
    <cfRule type="cellIs" dxfId="190" priority="213" operator="lessThan">
      <formula>0.4</formula>
    </cfRule>
  </conditionalFormatting>
  <conditionalFormatting sqref="AF41:AG41">
    <cfRule type="cellIs" dxfId="189" priority="212" operator="lessThan">
      <formula>0.4</formula>
    </cfRule>
  </conditionalFormatting>
  <conditionalFormatting sqref="AF34:AG38">
    <cfRule type="cellIs" dxfId="188" priority="211" operator="lessThan">
      <formula>0.4</formula>
    </cfRule>
  </conditionalFormatting>
  <conditionalFormatting sqref="AF27:AG27 AF29:AG30">
    <cfRule type="cellIs" dxfId="187" priority="210" operator="lessThan">
      <formula>0.4</formula>
    </cfRule>
  </conditionalFormatting>
  <conditionalFormatting sqref="AF32:AG32">
    <cfRule type="cellIs" dxfId="186" priority="209" operator="lessThan">
      <formula>0.4</formula>
    </cfRule>
  </conditionalFormatting>
  <conditionalFormatting sqref="AF39:AG39">
    <cfRule type="cellIs" dxfId="185" priority="208" operator="lessThan">
      <formula>0.4</formula>
    </cfRule>
  </conditionalFormatting>
  <conditionalFormatting sqref="AF25:AG25">
    <cfRule type="cellIs" dxfId="184" priority="207" operator="lessThan">
      <formula>0.4</formula>
    </cfRule>
  </conditionalFormatting>
  <conditionalFormatting sqref="AF21:AG21">
    <cfRule type="cellIs" dxfId="183" priority="206" operator="lessThan">
      <formula>0.4</formula>
    </cfRule>
  </conditionalFormatting>
  <conditionalFormatting sqref="AF18:AG18">
    <cfRule type="cellIs" dxfId="182" priority="205" operator="lessThan">
      <formula>0.4</formula>
    </cfRule>
  </conditionalFormatting>
  <conditionalFormatting sqref="AF3:AG6">
    <cfRule type="cellIs" dxfId="181" priority="204" operator="lessThan">
      <formula>0.4</formula>
    </cfRule>
  </conditionalFormatting>
  <conditionalFormatting sqref="AF19:AG19">
    <cfRule type="cellIs" dxfId="180" priority="203" operator="lessThan">
      <formula>0.4</formula>
    </cfRule>
  </conditionalFormatting>
  <conditionalFormatting sqref="AF42:AG42">
    <cfRule type="cellIs" dxfId="179" priority="202" operator="lessThan">
      <formula>0.4</formula>
    </cfRule>
  </conditionalFormatting>
  <conditionalFormatting sqref="AF46:AG46">
    <cfRule type="cellIs" dxfId="178" priority="183" operator="lessThan">
      <formula>0.4</formula>
    </cfRule>
  </conditionalFormatting>
  <conditionalFormatting sqref="AF47:AG47">
    <cfRule type="cellIs" dxfId="177" priority="180" operator="lessThan">
      <formula>0.4</formula>
    </cfRule>
  </conditionalFormatting>
  <conditionalFormatting sqref="AF48:AG48">
    <cfRule type="cellIs" dxfId="176" priority="177" operator="lessThan">
      <formula>0.4</formula>
    </cfRule>
  </conditionalFormatting>
  <conditionalFormatting sqref="AF49:AG49">
    <cfRule type="cellIs" dxfId="175" priority="174" operator="lessThan">
      <formula>0.4</formula>
    </cfRule>
  </conditionalFormatting>
  <conditionalFormatting sqref="AF52:AG52">
    <cfRule type="cellIs" dxfId="174" priority="171" operator="lessThan">
      <formula>0.4</formula>
    </cfRule>
  </conditionalFormatting>
  <conditionalFormatting sqref="AF54:AG54">
    <cfRule type="cellIs" dxfId="173" priority="168" operator="lessThan">
      <formula>0.4</formula>
    </cfRule>
  </conditionalFormatting>
  <conditionalFormatting sqref="AF22:AG22">
    <cfRule type="cellIs" dxfId="172" priority="141" operator="lessThan">
      <formula>0.4</formula>
    </cfRule>
  </conditionalFormatting>
  <conditionalFormatting sqref="AF23:AG23">
    <cfRule type="cellIs" dxfId="171" priority="138" operator="lessThan">
      <formula>0.4</formula>
    </cfRule>
  </conditionalFormatting>
  <conditionalFormatting sqref="AF24:AG24">
    <cfRule type="cellIs" dxfId="170" priority="135" operator="lessThan">
      <formula>0.4</formula>
    </cfRule>
  </conditionalFormatting>
  <conditionalFormatting sqref="AF8:AG8">
    <cfRule type="cellIs" dxfId="169" priority="132" operator="lessThan">
      <formula>0.4</formula>
    </cfRule>
  </conditionalFormatting>
  <conditionalFormatting sqref="AF9:AG9">
    <cfRule type="cellIs" dxfId="168" priority="129" operator="lessThan">
      <formula>0.4</formula>
    </cfRule>
  </conditionalFormatting>
  <conditionalFormatting sqref="AF10:AG10">
    <cfRule type="cellIs" dxfId="167" priority="126" operator="lessThan">
      <formula>0.4</formula>
    </cfRule>
  </conditionalFormatting>
  <conditionalFormatting sqref="AF11:AG11">
    <cfRule type="cellIs" dxfId="166" priority="123" operator="lessThan">
      <formula>0.4</formula>
    </cfRule>
  </conditionalFormatting>
  <conditionalFormatting sqref="AF12:AG12">
    <cfRule type="cellIs" dxfId="165" priority="120" operator="lessThan">
      <formula>0.4</formula>
    </cfRule>
  </conditionalFormatting>
  <conditionalFormatting sqref="AF14:AG14">
    <cfRule type="cellIs" dxfId="164" priority="117" operator="lessThan">
      <formula>0.4</formula>
    </cfRule>
  </conditionalFormatting>
  <conditionalFormatting sqref="AF7:AG7 AG1:AH1 AG2:AG7">
    <cfRule type="cellIs" dxfId="163" priority="111" operator="lessThan">
      <formula>0.4</formula>
    </cfRule>
  </conditionalFormatting>
  <conditionalFormatting sqref="AF13:AG13">
    <cfRule type="cellIs" dxfId="162" priority="108" operator="lessThan">
      <formula>0.4</formula>
    </cfRule>
  </conditionalFormatting>
  <conditionalFormatting sqref="AN49:AN51 AN3:AN20">
    <cfRule type="cellIs" dxfId="161" priority="74" operator="lessThan">
      <formula>0.405</formula>
    </cfRule>
  </conditionalFormatting>
  <conditionalFormatting sqref="AN21:AN24">
    <cfRule type="cellIs" dxfId="160" priority="39" operator="lessThan">
      <formula>0.405</formula>
    </cfRule>
  </conditionalFormatting>
  <conditionalFormatting sqref="AO3:AO18">
    <cfRule type="cellIs" dxfId="159" priority="69" operator="greaterThanOrEqual">
      <formula>0</formula>
    </cfRule>
    <cfRule type="cellIs" dxfId="158" priority="70" operator="greaterThan">
      <formula>0</formula>
    </cfRule>
  </conditionalFormatting>
  <conditionalFormatting sqref="AO19">
    <cfRule type="cellIs" dxfId="157" priority="56" operator="greaterThanOrEqual">
      <formula>0</formula>
    </cfRule>
    <cfRule type="cellIs" dxfId="156" priority="57" operator="greaterThan">
      <formula>0</formula>
    </cfRule>
  </conditionalFormatting>
  <conditionalFormatting sqref="AO21:AO24">
    <cfRule type="cellIs" dxfId="155" priority="37" operator="greaterThanOrEqual">
      <formula>0</formula>
    </cfRule>
    <cfRule type="cellIs" dxfId="154" priority="38" operator="greaterThan">
      <formula>0</formula>
    </cfRule>
  </conditionalFormatting>
  <conditionalFormatting sqref="AO29:AO31">
    <cfRule type="cellIs" dxfId="153" priority="34" operator="greaterThanOrEqual">
      <formula>0</formula>
    </cfRule>
    <cfRule type="cellIs" dxfId="152" priority="35" operator="greaterThan">
      <formula>0</formula>
    </cfRule>
  </conditionalFormatting>
  <conditionalFormatting sqref="AN29:AN31">
    <cfRule type="cellIs" dxfId="151" priority="36" operator="lessThan">
      <formula>0.405</formula>
    </cfRule>
  </conditionalFormatting>
  <conditionalFormatting sqref="AN34:AN38">
    <cfRule type="cellIs" dxfId="150" priority="33" operator="lessThan">
      <formula>0.405</formula>
    </cfRule>
  </conditionalFormatting>
  <conditionalFormatting sqref="AO34:AO38">
    <cfRule type="cellIs" dxfId="149" priority="31" operator="greaterThanOrEqual">
      <formula>0</formula>
    </cfRule>
    <cfRule type="cellIs" dxfId="148" priority="32" operator="greaterThan">
      <formula>0</formula>
    </cfRule>
  </conditionalFormatting>
  <conditionalFormatting sqref="AN41">
    <cfRule type="cellIs" dxfId="147" priority="30" operator="lessThan">
      <formula>0.405</formula>
    </cfRule>
  </conditionalFormatting>
  <conditionalFormatting sqref="AO41">
    <cfRule type="cellIs" dxfId="146" priority="28" operator="greaterThanOrEqual">
      <formula>0</formula>
    </cfRule>
    <cfRule type="cellIs" dxfId="145" priority="29" operator="greaterThan">
      <formula>0</formula>
    </cfRule>
  </conditionalFormatting>
  <conditionalFormatting sqref="AN44:AN48">
    <cfRule type="cellIs" dxfId="144" priority="27" operator="lessThan">
      <formula>0.405</formula>
    </cfRule>
  </conditionalFormatting>
  <conditionalFormatting sqref="AO44:AO48">
    <cfRule type="cellIs" dxfId="143" priority="25" operator="greaterThanOrEqual">
      <formula>0</formula>
    </cfRule>
    <cfRule type="cellIs" dxfId="142" priority="26" operator="greaterThan">
      <formula>0</formula>
    </cfRule>
  </conditionalFormatting>
  <conditionalFormatting sqref="AN25:AN26">
    <cfRule type="cellIs" dxfId="141" priority="24" operator="lessThan">
      <formula>0.405</formula>
    </cfRule>
  </conditionalFormatting>
  <conditionalFormatting sqref="AO25">
    <cfRule type="cellIs" dxfId="140" priority="22" operator="greaterThanOrEqual">
      <formula>0</formula>
    </cfRule>
    <cfRule type="cellIs" dxfId="139" priority="23" operator="greaterThan">
      <formula>0</formula>
    </cfRule>
  </conditionalFormatting>
  <conditionalFormatting sqref="AN27:AN28">
    <cfRule type="cellIs" dxfId="138" priority="21" operator="lessThan">
      <formula>0.405</formula>
    </cfRule>
  </conditionalFormatting>
  <conditionalFormatting sqref="AO27">
    <cfRule type="cellIs" dxfId="137" priority="19" operator="greaterThanOrEqual">
      <formula>0</formula>
    </cfRule>
    <cfRule type="cellIs" dxfId="136" priority="20" operator="greaterThan">
      <formula>0</formula>
    </cfRule>
  </conditionalFormatting>
  <conditionalFormatting sqref="AN32:AN33">
    <cfRule type="cellIs" dxfId="135" priority="18" operator="lessThan">
      <formula>0.405</formula>
    </cfRule>
  </conditionalFormatting>
  <conditionalFormatting sqref="AO32">
    <cfRule type="cellIs" dxfId="134" priority="16" operator="greaterThanOrEqual">
      <formula>0</formula>
    </cfRule>
    <cfRule type="cellIs" dxfId="133" priority="17" operator="greaterThan">
      <formula>0</formula>
    </cfRule>
  </conditionalFormatting>
  <conditionalFormatting sqref="AN39:AN40">
    <cfRule type="cellIs" dxfId="132" priority="15" operator="lessThan">
      <formula>0.405</formula>
    </cfRule>
  </conditionalFormatting>
  <conditionalFormatting sqref="AO39">
    <cfRule type="cellIs" dxfId="131" priority="13" operator="greaterThanOrEqual">
      <formula>0</formula>
    </cfRule>
    <cfRule type="cellIs" dxfId="130" priority="14" operator="greaterThan">
      <formula>0</formula>
    </cfRule>
  </conditionalFormatting>
  <conditionalFormatting sqref="AN42:AN43">
    <cfRule type="cellIs" dxfId="129" priority="12" operator="lessThan">
      <formula>0.405</formula>
    </cfRule>
  </conditionalFormatting>
  <conditionalFormatting sqref="AO42">
    <cfRule type="cellIs" dxfId="128" priority="10" operator="greaterThanOrEqual">
      <formula>0</formula>
    </cfRule>
    <cfRule type="cellIs" dxfId="127" priority="11" operator="greaterThan">
      <formula>0</formula>
    </cfRule>
  </conditionalFormatting>
  <conditionalFormatting sqref="AN52:AN53">
    <cfRule type="cellIs" dxfId="126" priority="9" operator="lessThan">
      <formula>0.405</formula>
    </cfRule>
  </conditionalFormatting>
  <conditionalFormatting sqref="AO52">
    <cfRule type="cellIs" dxfId="125" priority="7" operator="greaterThanOrEqual">
      <formula>0</formula>
    </cfRule>
    <cfRule type="cellIs" dxfId="124" priority="8" operator="greaterThan">
      <formula>0</formula>
    </cfRule>
  </conditionalFormatting>
  <conditionalFormatting sqref="AN54:AN55">
    <cfRule type="cellIs" dxfId="123" priority="6" operator="lessThan">
      <formula>0.405</formula>
    </cfRule>
  </conditionalFormatting>
  <conditionalFormatting sqref="AO54">
    <cfRule type="cellIs" dxfId="122" priority="4" operator="greaterThanOrEqual">
      <formula>0</formula>
    </cfRule>
    <cfRule type="cellIs" dxfId="121" priority="5" operator="greaterThan">
      <formula>0</formula>
    </cfRule>
  </conditionalFormatting>
  <conditionalFormatting sqref="AO49">
    <cfRule type="cellIs" dxfId="120" priority="2" operator="greaterThanOrEqual">
      <formula>0</formula>
    </cfRule>
    <cfRule type="cellIs" dxfId="119" priority="3" operator="greaterThan">
      <formula>0</formula>
    </cfRule>
  </conditionalFormatting>
  <conditionalFormatting sqref="AH3:AH19 AH54 AH52 AH44:AH49 AH41:AH42 AH34:AH39 AH29:AH32 AH27 AH21:AH25">
    <cfRule type="cellIs" dxfId="118" priority="1" operator="lessThan">
      <formula>0.5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Joyas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Torrebella Bonnín</dc:creator>
  <cp:lastModifiedBy>María Torrebella Bonnín</cp:lastModifiedBy>
  <dcterms:created xsi:type="dcterms:W3CDTF">2024-12-27T11:22:49Z</dcterms:created>
  <dcterms:modified xsi:type="dcterms:W3CDTF">2026-01-26T14:16:32Z</dcterms:modified>
</cp:coreProperties>
</file>